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2026\20260808川剧院智能应用\6-生成知识\"/>
    </mc:Choice>
  </mc:AlternateContent>
  <bookViews>
    <workbookView windowWidth="27945" windowHeight="12375"/>
  </bookViews>
  <sheets>
    <sheet name="一页纸成本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<sst xmlns="http://schemas.openxmlformats.org/spreadsheetml/2006/main" count="57" uniqueCount="57">
  <si>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四川省川剧院 · 多场景多语言导览耳机与随身 AI 语音 Agent 伴游 H5 系统一页纸成本报价单</t>
  </si>
  <si>
    <t>【轻量高效商用版】涵盖川剧/大卖场/文旅节点录音导览耳机开发、伴游AI Agent、轻量H5平台、私有化GPU算力部署与验证样品</t>
  </si>
  <si>
    <t>项目定位</t>
  </si>
  <si>
    <t>川剧现场 / 大卖场 / 旅游节点多语言导览耳机 + AI语音伴游H5</t>
  </si>
  <si>
    <t>应用载体</t>
  </si>
  <si>
    <t>免装App扫码即用H5 + 专属蓝牙耳机</t>
  </si>
  <si>
    <t>报价编制日期</t>
  </si>
  <si>
    <t>2026年08月28日</t>
  </si>
  <si>
    <t>工期与交付</t>
  </si>
  <si>
    <t>约 45~60 工作日 / 包含50套验证样机及GPU物理服务器整机</t>
  </si>
  <si>
    <t>序号</t>
  </si>
  <si>
    <t>系统与成本构成模块</t>
  </si>
  <si>
    <t>主要功能特性、技术指标与硬件配置规格</t>
  </si>
  <si>
    <t>数量/单位</t>
  </si>
  <si>
    <t>基准单价 (元)</t>
  </si>
  <si>
    <t>含税金额 (RMB)</t>
  </si>
  <si>
    <t>预算占比</t>
  </si>
  <si>
    <t>1.1 专属文创外观 ID 与轻量结构 MD 设计</t>
  </si>
  <si>
    <t>川剧脸谱与文旅特色外观、超轻量舒适佩戴、降噪拾音硅麦风道与智能充电盒结构</t>
  </si>
  <si>
    <t>1.2 蓝牙双模主板 EE 与免配对直连固件</t>
  </si>
  <si>
    <t>BT5.3双模芯片方案、低功耗BLE广播与H5免配对直连、低延迟音频接收固件开发</t>
  </si>
  <si>
    <t>1.3 耳机外壳与充电盒精密塑胶注塑模具</t>
  </si>
  <si>
    <t>左右耳机壳与便携充电盒精密模具（S136极淬火钢模，保证10万模次高精度无毛边）</t>
  </si>
  <si>
    <t>1.4 首批验证样机打样与制作 (50套样机)</t>
  </si>
  <si>
    <t>CNC手板5套 + SMT样板10套 + 首批50套成品耳机生产全检与川剧文创彩绘礼盒包装</t>
  </si>
  <si>
    <t>2.1 移动端多场景响应式导览 H5 平台</t>
  </si>
  <si>
    <t>支持川剧现场、大卖场、文旅节点场景切换，多语种录音讲解点播与同步滚动字幕</t>
  </si>
  <si>
    <t>2.2 随身 AI 语音 Agent 伴游对话系统</t>
  </si>
  <si>
    <t>浮动伴游语音交互界面、双向流式语音实时对答、景点/剧目/商品知识库 RAG 问答</t>
  </si>
  <si>
    <t>2.3 Web Bluetooth 扫码免配对直连组件</t>
  </si>
  <si>
    <t>H5页面扫码直连耳机蓝牙（免进入手机系统蓝牙配对），耳机按键交互与电量状态回传</t>
  </si>
  <si>
    <t>2.4 云端后端微服务与运营管理后台 Admin</t>
  </si>
  <si>
    <t>多语言音频分发、AI 伴游知识库录入、设备二维码分配、游客访问与问答流量统计</t>
  </si>
  <si>
    <t>3.1 开源流式多语种 ASR 语音识别引擎</t>
  </si>
  <si>
    <t>SenseVoice-Small / Faster-Whisper 多语种流式语音识别，端到端延迟 &lt;120ms</t>
  </si>
  <si>
    <t>3.2 伴游对话大模型微调与 RAG 知识库</t>
  </si>
  <si>
    <t>Qwen2.5-7B/14B 知识库微调（涵盖川剧历史、大卖场导购术语、文旅问答）与意图识别</t>
  </si>
  <si>
    <t>3.3 开源多语种流式 TTS 与名角音色克隆</t>
  </si>
  <si>
    <t>CosyVoice 2.0 零样本音色克隆（3秒克隆名角/伴游专属音色），多语言流式分块输出</t>
  </si>
  <si>
    <t>4.1 企业级高可靠 AI 推理 GPU 服务器整机</t>
  </si>
  <si>
    <t>AMD EPYC 高性能处理器 / 128GB DDR5 ECC 内存 / 2TB NVMe SSD / 1600W 冗余金牌电源</t>
  </si>
  <si>
    <t>4.2 专业大模型推理加速 GPU 显卡</t>
  </si>
  <si>
    <t>NVIDIA RTX 4090D 24GB / A5000 24GB 算力卡（支持 vLLM 高并发量化推理加速）</t>
  </si>
  <si>
    <t>4.3 私有化容器编排部署与性能压测调优</t>
  </si>
  <si>
    <t>Docker 容器化部署、vLLM 推理服务搭建、负载均衡配置与现场性能压力测试</t>
  </si>
  <si>
    <t>5.1 现场弱电音频联调、知识库培训与首年质保</t>
  </si>
  <si>
    <t>川剧院/商超实地音频网络调试、操作培训、12个月全套软硬件免费缺陷修复与维护</t>
  </si>
  <si>
    <t>项目综合总预算 (含税 RMB)</t>
  </si>
  <si>
    <t>全套交钥匙</t>
  </si>
  <si>
    <t>-</t>
  </si>
  <si>
    <t>一页纸核心交付物与商业条款</t>
  </si>
  <si>
    <t>交付成果清单</t>
  </si>
  <si>
    <t>① 专属文创耳机全套注塑模具所有权与50套成品样机；② 移动端多场景导览及AI语音Agent伴游H5全套源代码；③ 私有化GPU服务器整机（含RTX4090D算力卡及已微调的SenseVoice/Qwen2.5/CosyVoice模型容器）。</t>
  </si>
  <si>
    <t>商业付款阶段</t>
  </si>
  <si>
    <t>首款 40%（合同签订启动软硬件与模型定制）｜ 中期款 30%（H5伴游系统Beta联调完成与模具T0试模）｜ 验收款 20%（50套样机与GPU服务器现场交付验收合格）｜ 质保金 10%（系统平稳运行满1年付清）。</t>
  </si>
  <si>
    <t>质保与技术支持</t>
  </si>
  <si>
    <t>自验收之日起提供 12 个月免费软硬件缺陷修复与技术支持；提供现场技术管理人员操作培训，终身享受系统扩容与模型升级技术咨询服务。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</si>
</sst>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0.0%"/>
  </numFmts>
  <fonts count="29">
    <font>
      <sz val="11"/>
      <color theme="1"/>
      <name val="宋体"/>
      <charset val="134"/>
      <scheme val="minor"/>
    </font>
    <font>
      <b/>
      <sz val="13.5"/>
      <color rgb="FFFFFFFF"/>
      <name val="微软雅黑"/>
      <charset val="134"/>
    </font>
    <font>
      <i/>
      <sz val="9"/>
      <color rgb="FFEAD9CD"/>
      <name val="微软雅黑"/>
      <charset val="134"/>
    </font>
    <font>
      <b/>
      <sz val="8.5"/>
      <color rgb="FF221B16"/>
      <name val="微软雅黑"/>
      <charset val="134"/>
    </font>
    <font>
      <sz val="8.5"/>
      <color rgb="FF1A1A1A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8A1C14"/>
      <name val="微软雅黑"/>
      <charset val="134"/>
    </font>
    <font>
      <b/>
      <sz val="11"/>
      <color rgb="FF8A1C14"/>
      <name val="微软雅黑"/>
      <charset val="134"/>
    </font>
    <font>
      <b/>
      <sz val="9.5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4A120E"/>
        <bgColor rgb="FF4A120E"/>
      </patternFill>
    </fill>
    <fill>
      <patternFill patternType="solid">
        <fgColor rgb="FFF7F2EA"/>
        <bgColor rgb="FFF7F2EA"/>
      </patternFill>
    </fill>
    <fill>
      <patternFill patternType="solid">
        <fgColor rgb="FFFDFDFB"/>
        <bgColor rgb="FFFDFDFB"/>
      </patternFill>
    </fill>
    <fill>
      <patternFill patternType="solid">
        <fgColor rgb="FFDFC298"/>
        <bgColor rgb="FFDFC298"/>
      </patternFill>
    </fill>
    <fill>
      <patternFill patternType="solid">
        <fgColor rgb="FF6B1710"/>
        <bgColor rgb="FF6B17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2" borderId="2" xfId="0" applyFont="1" applyFill="1" applyBorder="1"/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176" fontId="0" fillId="5" borderId="1" xfId="0" applyNumberForma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7" fontId="3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76" fontId="0" fillId="4" borderId="1" xfId="0" applyNumberForma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177" fontId="3" fillId="4" borderId="1" xfId="0" applyNumberFormat="1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3" xfId="0" applyFill="1" applyBorder="1" applyAlignment="1">
      <alignment horizontal="center" vertical="center" wrapText="1"/>
    </xf>
    <xf numFmtId="176" fontId="7" fillId="6" borderId="3" xfId="0" applyNumberFormat="1" applyFont="1" applyFill="1" applyBorder="1" applyAlignment="1">
      <alignment horizontal="right" vertical="center"/>
    </xf>
    <xf numFmtId="177" fontId="3" fillId="6" borderId="3" xfId="0" applyNumberFormat="1" applyFont="1" applyFill="1" applyBorder="1" applyAlignment="1">
      <alignment horizontal="right" vertical="center"/>
    </xf>
    <xf numFmtId="0" fontId="8" fillId="7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5"/>
  <sheetViews>
    <sheetView tabSelected="1" workbookViewId="0">
      <selection activeCell="C18" sqref="C18"/>
    </sheetView>
  </sheetViews>
  <sheetFormatPr defaultColWidth="9" defaultRowHeight="13.5" outlineLevelCol="6"/>
  <cols>
    <col min="1" max="1" width="8" customWidth="1"/>
    <col min="2" max="2" width="28" customWidth="1"/>
    <col min="3" max="3" width="48" customWidth="1"/>
    <col min="4" max="4" width="12" customWidth="1"/>
    <col min="5" max="5" width="14" customWidth="1"/>
    <col min="6" max="6" width="16" customWidth="1"/>
    <col min="7" max="7" width="12" customWidth="1"/>
  </cols>
  <sheetData>
    <row r="1" ht="20.25" spans="1:7">
      <c r="A1" s="1" t="s">
        <v>0</v>
      </c>
    </row>
    <row r="2" ht="14.25" spans="1:7">
      <c r="A2" s="2" t="s">
        <v>1</v>
      </c>
    </row>
    <row r="3" spans="1:7">
      <c r="A3" s="3" t="s">
        <v>2</v>
      </c>
      <c r="B3" s="4" t="s">
        <v>3</v>
      </c>
      <c r="C3" s="5"/>
      <c r="D3" s="5"/>
      <c r="E3" s="3" t="s">
        <v>4</v>
      </c>
      <c r="F3" s="4" t="s">
        <v>5</v>
      </c>
      <c r="G3" s="5"/>
    </row>
    <row r="4" ht="27" spans="1:7">
      <c r="A4" s="3" t="s">
        <v>6</v>
      </c>
      <c r="B4" s="4" t="s">
        <v>7</v>
      </c>
      <c r="C4" s="5"/>
      <c r="D4" s="5"/>
      <c r="E4" s="3" t="s">
        <v>8</v>
      </c>
      <c r="F4" s="4" t="s">
        <v>9</v>
      </c>
      <c r="G4" s="5"/>
    </row>
    <row r="5" ht="15" spans="1:7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 ht="27" spans="1:7">
      <c r="A6" s="7">
        <v>1</v>
      </c>
      <c r="B6" s="8" t="s">
        <v>17</v>
      </c>
      <c r="C6" s="9" t="s">
        <v>18</v>
      </c>
      <c r="D6" s="7">
        <v>1</v>
      </c>
      <c r="E6" s="10">
        <v>22000</v>
      </c>
      <c r="F6" s="11">
        <f t="shared" ref="F6:F20" si="0">D6*E6</f>
        <v>22000</v>
      </c>
      <c r="G6" s="12">
        <f>F6/F21</f>
        <v>0.0602739726027397</v>
      </c>
    </row>
    <row r="7" ht="27" spans="1:7">
      <c r="A7" s="13">
        <v>2</v>
      </c>
      <c r="B7" s="14" t="s">
        <v>19</v>
      </c>
      <c r="C7" s="15" t="s">
        <v>20</v>
      </c>
      <c r="D7" s="13">
        <v>1</v>
      </c>
      <c r="E7" s="16">
        <v>25000</v>
      </c>
      <c r="F7" s="17">
        <f t="shared" si="0"/>
        <v>25000</v>
      </c>
      <c r="G7" s="18">
        <f>F7/F21</f>
        <v>0.0684931506849315</v>
      </c>
    </row>
    <row r="8" ht="27" spans="1:7">
      <c r="A8" s="7">
        <v>3</v>
      </c>
      <c r="B8" s="8" t="s">
        <v>21</v>
      </c>
      <c r="C8" s="9" t="s">
        <v>22</v>
      </c>
      <c r="D8" s="7">
        <v>1</v>
      </c>
      <c r="E8" s="10">
        <v>55000</v>
      </c>
      <c r="F8" s="11">
        <f t="shared" si="0"/>
        <v>55000</v>
      </c>
      <c r="G8" s="12">
        <f>F8/F21</f>
        <v>0.150684931506849</v>
      </c>
    </row>
    <row r="9" ht="27" spans="1:7">
      <c r="A9" s="13">
        <v>4</v>
      </c>
      <c r="B9" s="14" t="s">
        <v>23</v>
      </c>
      <c r="C9" s="15" t="s">
        <v>24</v>
      </c>
      <c r="D9" s="13">
        <v>50</v>
      </c>
      <c r="E9" s="16">
        <v>500</v>
      </c>
      <c r="F9" s="17">
        <f t="shared" si="0"/>
        <v>25000</v>
      </c>
      <c r="G9" s="18">
        <f>F9/F21</f>
        <v>0.0684931506849315</v>
      </c>
    </row>
    <row r="10" ht="27" spans="1:7">
      <c r="A10" s="7">
        <v>5</v>
      </c>
      <c r="B10" s="8" t="s">
        <v>25</v>
      </c>
      <c r="C10" s="9" t="s">
        <v>26</v>
      </c>
      <c r="D10" s="7">
        <v>1</v>
      </c>
      <c r="E10" s="10">
        <v>28000</v>
      </c>
      <c r="F10" s="11">
        <f t="shared" si="0"/>
        <v>28000</v>
      </c>
      <c r="G10" s="12">
        <f>F10/F21</f>
        <v>0.0767123287671233</v>
      </c>
    </row>
    <row r="11" ht="27" spans="1:7">
      <c r="A11" s="13">
        <v>6</v>
      </c>
      <c r="B11" s="14" t="s">
        <v>27</v>
      </c>
      <c r="C11" s="15" t="s">
        <v>28</v>
      </c>
      <c r="D11" s="13">
        <v>1</v>
      </c>
      <c r="E11" s="16">
        <v>32000</v>
      </c>
      <c r="F11" s="17">
        <f t="shared" si="0"/>
        <v>32000</v>
      </c>
      <c r="G11" s="18">
        <f>F11/F21</f>
        <v>0.0876712328767123</v>
      </c>
    </row>
    <row r="12" ht="27" spans="1:7">
      <c r="A12" s="7">
        <v>7</v>
      </c>
      <c r="B12" s="8" t="s">
        <v>29</v>
      </c>
      <c r="C12" s="9" t="s">
        <v>30</v>
      </c>
      <c r="D12" s="7">
        <v>1</v>
      </c>
      <c r="E12" s="10">
        <v>16000</v>
      </c>
      <c r="F12" s="11">
        <f t="shared" si="0"/>
        <v>16000</v>
      </c>
      <c r="G12" s="12">
        <f>F12/F21</f>
        <v>0.0438356164383562</v>
      </c>
    </row>
    <row r="13" ht="27" spans="1:7">
      <c r="A13" s="13">
        <v>8</v>
      </c>
      <c r="B13" s="14" t="s">
        <v>31</v>
      </c>
      <c r="C13" s="15" t="s">
        <v>32</v>
      </c>
      <c r="D13" s="7">
        <v>1</v>
      </c>
      <c r="E13" s="16">
        <v>24000</v>
      </c>
      <c r="F13" s="17">
        <f t="shared" si="0"/>
        <v>24000</v>
      </c>
      <c r="G13" s="18">
        <f>F13/F21</f>
        <v>0.0657534246575342</v>
      </c>
    </row>
    <row r="14" ht="27" spans="1:7">
      <c r="A14" s="7">
        <v>9</v>
      </c>
      <c r="B14" s="8" t="s">
        <v>33</v>
      </c>
      <c r="C14" s="9" t="s">
        <v>34</v>
      </c>
      <c r="D14" s="7">
        <v>1</v>
      </c>
      <c r="E14" s="10">
        <v>18000</v>
      </c>
      <c r="F14" s="11">
        <f t="shared" si="0"/>
        <v>18000</v>
      </c>
      <c r="G14" s="12">
        <f>F14/F21</f>
        <v>0.0493150684931507</v>
      </c>
    </row>
    <row r="15" ht="27" spans="1:7">
      <c r="A15" s="13">
        <v>10</v>
      </c>
      <c r="B15" s="14" t="s">
        <v>35</v>
      </c>
      <c r="C15" s="15" t="s">
        <v>36</v>
      </c>
      <c r="D15" s="7">
        <v>1</v>
      </c>
      <c r="E15" s="16">
        <v>22000</v>
      </c>
      <c r="F15" s="17">
        <f t="shared" si="0"/>
        <v>22000</v>
      </c>
      <c r="G15" s="18">
        <f>F15/F21</f>
        <v>0.0602739726027397</v>
      </c>
    </row>
    <row r="16" ht="27" spans="1:7">
      <c r="A16" s="7">
        <v>11</v>
      </c>
      <c r="B16" s="8" t="s">
        <v>37</v>
      </c>
      <c r="C16" s="9" t="s">
        <v>38</v>
      </c>
      <c r="D16" s="7">
        <v>1</v>
      </c>
      <c r="E16" s="10">
        <v>18000</v>
      </c>
      <c r="F16" s="11">
        <f t="shared" si="0"/>
        <v>18000</v>
      </c>
      <c r="G16" s="12">
        <f>F16/F21</f>
        <v>0.0493150684931507</v>
      </c>
    </row>
    <row r="17" ht="27" spans="1:7">
      <c r="A17" s="13">
        <v>12</v>
      </c>
      <c r="B17" s="14" t="s">
        <v>39</v>
      </c>
      <c r="C17" s="15" t="s">
        <v>40</v>
      </c>
      <c r="D17" s="7">
        <v>1</v>
      </c>
      <c r="E17" s="16">
        <v>28000</v>
      </c>
      <c r="F17" s="17">
        <f t="shared" si="0"/>
        <v>28000</v>
      </c>
      <c r="G17" s="18">
        <f>F17/F21</f>
        <v>0.0767123287671233</v>
      </c>
    </row>
    <row r="18" ht="27" spans="1:7">
      <c r="A18" s="7">
        <v>13</v>
      </c>
      <c r="B18" s="8" t="s">
        <v>41</v>
      </c>
      <c r="C18" s="9" t="s">
        <v>42</v>
      </c>
      <c r="D18" s="7">
        <v>1</v>
      </c>
      <c r="E18" s="10">
        <v>22000</v>
      </c>
      <c r="F18" s="11">
        <f t="shared" si="0"/>
        <v>22000</v>
      </c>
      <c r="G18" s="12">
        <f>F18/F21</f>
        <v>0.0602739726027397</v>
      </c>
    </row>
    <row r="19" ht="27" spans="1:7">
      <c r="A19" s="13">
        <v>14</v>
      </c>
      <c r="B19" s="14" t="s">
        <v>43</v>
      </c>
      <c r="C19" s="15" t="s">
        <v>44</v>
      </c>
      <c r="D19" s="7">
        <v>1</v>
      </c>
      <c r="E19" s="16">
        <v>12000</v>
      </c>
      <c r="F19" s="17">
        <f t="shared" si="0"/>
        <v>12000</v>
      </c>
      <c r="G19" s="18">
        <f>F19/F21</f>
        <v>0.0328767123287671</v>
      </c>
    </row>
    <row r="20" ht="27" spans="1:7">
      <c r="A20" s="7">
        <v>15</v>
      </c>
      <c r="B20" s="8" t="s">
        <v>45</v>
      </c>
      <c r="C20" s="9" t="s">
        <v>46</v>
      </c>
      <c r="D20" s="7">
        <v>1</v>
      </c>
      <c r="E20" s="10">
        <v>18000</v>
      </c>
      <c r="F20" s="11">
        <f t="shared" si="0"/>
        <v>18000</v>
      </c>
      <c r="G20" s="12">
        <f>F20/F21</f>
        <v>0.0493150684931507</v>
      </c>
    </row>
    <row r="21" ht="15.75" spans="1:7">
      <c r="A21" s="19" t="s">
        <v>47</v>
      </c>
      <c r="B21" s="20"/>
      <c r="C21" s="20"/>
      <c r="D21" s="19" t="s">
        <v>48</v>
      </c>
      <c r="E21" s="21" t="s">
        <v>49</v>
      </c>
      <c r="F21" s="22">
        <f>SUM(F6:F20)</f>
        <v>365000</v>
      </c>
      <c r="G21" s="23">
        <f>SUM(G6:G20)</f>
        <v>1</v>
      </c>
    </row>
    <row r="22" ht="17.25" spans="1:7">
      <c r="A22" s="24" t="s">
        <v>50</v>
      </c>
    </row>
    <row r="23" ht="27" spans="1:7">
      <c r="A23" s="3" t="s">
        <v>51</v>
      </c>
      <c r="B23" s="4" t="s">
        <v>52</v>
      </c>
      <c r="C23" s="5"/>
      <c r="D23" s="5"/>
      <c r="E23" s="5"/>
      <c r="F23" s="5"/>
      <c r="G23" s="5"/>
    </row>
    <row r="24" ht="27" spans="1:7">
      <c r="A24" s="3" t="s">
        <v>53</v>
      </c>
      <c r="B24" s="4" t="s">
        <v>54</v>
      </c>
      <c r="C24" s="5"/>
      <c r="D24" s="5"/>
      <c r="E24" s="5"/>
      <c r="F24" s="5"/>
      <c r="G24" s="5"/>
    </row>
    <row r="25" ht="27" spans="1:7">
      <c r="A25" s="3" t="s">
        <v>55</v>
      </c>
      <c r="B25" s="4" t="s">
        <v>56</v>
      </c>
      <c r="C25" s="5"/>
      <c r="D25" s="5"/>
      <c r="E25" s="5"/>
      <c r="F25" s="5"/>
      <c r="G25" s="5"/>
    </row>
  </sheetData>
  <mergeCells count="11">
    <mergeCell ref="A1:G1"/>
    <mergeCell ref="A2:G2"/>
    <mergeCell ref="B3:D3"/>
    <mergeCell ref="F3:G3"/>
    <mergeCell ref="B4:D4"/>
    <mergeCell ref="F4:G4"/>
    <mergeCell ref="A21:C21"/>
    <mergeCell ref="A22:G22"/>
    <mergeCell ref="B23:G23"/>
    <mergeCell ref="B24:G24"/>
    <mergeCell ref="B25:G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一页纸成本报价单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悠想</cp:lastModifiedBy>
  <dcterms:created xsi:type="dcterms:W3CDTF">2026-08-27T15:54:00Z</dcterms:created>
  <dcterms:modified xsi:type="dcterms:W3CDTF">2026-08-27T16:54:02Z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7DE4387879174E868EAC972F401B698A_12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