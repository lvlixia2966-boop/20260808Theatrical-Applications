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W:\2026\20260808川剧院智能应用\6-生成知识\"/>
    </mc:Choice>
  </mc:AlternateContent>
  <bookViews>
    <workbookView windowWidth="13800" windowHeight="13005"/>
  </bookViews>
  <sheets>
    <sheet name="Agent伴游项目报价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<sst xmlns="http://schemas.openxmlformats.org/spreadsheetml/2006/main" count="118" uniqueCount="106">
  <si>
    <t>四川省川剧院智能 Agent 伴游项目建设及运营系统报价单</t>
  </si>
  <si>
    <t>以川剧文创耳机为服务入口，建设面向入境游客、景区与卖场的多语种 Agent 伴游、实时沟通与可运营数据资产平台</t>
  </si>
  <si>
    <t>项目定位</t>
  </si>
  <si>
    <t>首期商业化验证与可复制场景标准化建设：形成“内容资产—知识图谱—Agent服务—运营数据”的闭环能力，支持景区、剧院及卖场多点复制。</t>
  </si>
  <si>
    <t>建设周期</t>
  </si>
  <si>
    <t>约 90–105 个工作日（硬件、内容与软件并行）</t>
  </si>
  <si>
    <t>首期部署口径</t>
  </si>
  <si>
    <t>50 套验证样机 / 50 个场景节点</t>
  </si>
  <si>
    <t>项目首期投资预算</t>
  </si>
  <si>
    <t>次年基础运营预算/年</t>
  </si>
  <si>
    <t>序号</t>
  </si>
  <si>
    <t>投资类别</t>
  </si>
  <si>
    <t>软硬件/服务模块</t>
  </si>
  <si>
    <t>商务范围与核心交付</t>
  </si>
  <si>
    <t>数量</t>
  </si>
  <si>
    <t>含税单价（元）</t>
  </si>
  <si>
    <t>含税金额（元）</t>
  </si>
  <si>
    <t>硬件</t>
  </si>
  <si>
    <t>川剧文创智能耳机工业设计 ID / CMF</t>
  </si>
  <si>
    <t>川剧脸谱、变脸、戏服纹样与人体工学外观；含耳机及充电盒设计</t>
  </si>
  <si>
    <t>耳机结构、声学、电路与固件适配</t>
  </si>
  <si>
    <t>蓝牙 5.3/5.4、优先使用耳机麦克风、回声控制、电源与低功耗固件</t>
  </si>
  <si>
    <t>耳机及充电盒精密模具</t>
  </si>
  <si>
    <t>专属外壳与充电盒注塑模具、T0/T1 试模及表面纹理调校</t>
  </si>
  <si>
    <t>送检与认证预算</t>
  </si>
  <si>
    <t>SRRC/CE/IP 等按最终销售区域选做；本表按基础认证预算计入</t>
  </si>
  <si>
    <t>首批验证样机</t>
  </si>
  <si>
    <t>50 套耳机、充电盒、脸谱彩绘、组装全检及文创包装</t>
  </si>
  <si>
    <t>导览产品</t>
  </si>
  <si>
    <t>多语言录播导览 H5</t>
  </si>
  <si>
    <t>语言选择、内容点播、同步字幕与节点切换</t>
  </si>
  <si>
    <t>内容资产</t>
  </si>
  <si>
    <t>导览脚本与内容编目（基础包）</t>
  </si>
  <si>
    <t>默认 30 条内容、单条中文母稿不超过 3 分钟</t>
  </si>
  <si>
    <t>AI/API</t>
  </si>
  <si>
    <t>豆包翻译与多语 TTS 录制生产（基础包）</t>
  </si>
  <si>
    <t>默认 12 种目标语言；批量生成、人工抽检、术语纠错与音频切分</t>
  </si>
  <si>
    <t>Agent核心</t>
  </si>
  <si>
    <t>Agent伴游基础交互系统</t>
  </si>
  <si>
    <t>多语言文本/语音问答、上下文、引用来源、风险回答降级与反馈闭环</t>
  </si>
  <si>
    <t>知识图谱与 RAG 检索底座</t>
  </si>
  <si>
    <t>实体关系、向量检索、混合召回、答案编排与审核流程</t>
  </si>
  <si>
    <t>知识资产</t>
  </si>
  <si>
    <t>节点知识采集与内容加工（基础包）</t>
  </si>
  <si>
    <t>默认 10 个节点、约 500 条知识单元及验收问集</t>
  </si>
  <si>
    <t>豆包大模型接入与 Agent 编排</t>
  </si>
  <si>
    <t>模型路由、提示词、工具调用、内容安全、会话记忆和多语言输出</t>
  </si>
  <si>
    <t>运营平台</t>
  </si>
  <si>
    <t>后台、二维码与知识运营工具</t>
  </si>
  <si>
    <t>内容/知识管理、设备与会话二维码、统计、日志与权限</t>
  </si>
  <si>
    <t>实时沟通</t>
  </si>
  <si>
    <t>游客端 + 工作人员端双 H5</t>
  </si>
  <si>
    <t>会话建立、语言选择、按住说话、状态提示、断线重连与无障碍布局</t>
  </si>
  <si>
    <t>WebRTC/流式音频网关</t>
  </si>
  <si>
    <t>双端低延迟音频采集与转发、Opus 分片、会话鉴权、拥塞与弱网处理</t>
  </si>
  <si>
    <t>豆包流式 ASR/翻译/TTS 编排</t>
  </si>
  <si>
    <t>流式识别、分句、翻译、语音合成、术语表、失败重试与用量计量</t>
  </si>
  <si>
    <t>耳机麦克风与系统音频路由适配</t>
  </si>
  <si>
    <t>工作人员手机选择蓝牙耳机输入/输出，回声与抢话控制，机型兼容测试</t>
  </si>
  <si>
    <t>双端字幕、会话二维码与记录</t>
  </si>
  <si>
    <t>游客端显示工作人员译文；工作人员端显示原文/译文，可配置会话记录留存</t>
  </si>
  <si>
    <t>安全/测试</t>
  </si>
  <si>
    <t>隐私合规、压力与弱网测试</t>
  </si>
  <si>
    <t>麦克风授权提示、脱敏日志、并发/时延/丢包测试和验收报告</t>
  </si>
  <si>
    <t>运营</t>
  </si>
  <si>
    <t>首年云资源与日志监控</t>
  </si>
  <si>
    <t>应用、数据库、对象存储、音频网关、CDN、SSL 与监控 12 个月</t>
  </si>
  <si>
    <t>首年豆包 API 调用预算</t>
  </si>
  <si>
    <t>ASR、翻译/LLM、TTS 的试点预充值；用量超出后按火山引擎账单结算</t>
  </si>
  <si>
    <t>服务</t>
  </si>
  <si>
    <t>部署、现场联调、培训与 12 个月质保</t>
  </si>
  <si>
    <t>代表机型联调、验收脚本、操作培训、缺陷修复与基础运维</t>
  </si>
  <si>
    <t>内容扩展</t>
  </si>
  <si>
    <t>导览内容扩充包</t>
  </si>
  <si>
    <t>新增 90 条多语种录播导览内容；与基础包合计 120 条，含编目、译稿、音频切分与抽检</t>
  </si>
  <si>
    <t>语言扩展</t>
  </si>
  <si>
    <t>东南亚语言本地化与母语质检</t>
  </si>
  <si>
    <t>在基础 12 种外增加 6 种区域语言/变体；含术语表、本地化复核、敏感表达校验与发音质检</t>
  </si>
  <si>
    <t>知识扩展</t>
  </si>
  <si>
    <t>多场景知识图谱扩容</t>
  </si>
  <si>
    <t>新增 40 个景区/卖场/服务节点、4,500 条知识单元；与基础包合计 50 个节点、约 5,000 条知识</t>
  </si>
  <si>
    <t>Agent扩展</t>
  </si>
  <si>
    <t>场景化 Agent 工具包</t>
  </si>
  <si>
    <t>路线与换乘指引、票务/排队问答、商品服务指引、投诉应急指引等可配置场景工具</t>
  </si>
  <si>
    <t>实时沟通扩展</t>
  </si>
  <si>
    <t>导游团体一对多会话与讲解模式</t>
  </si>
  <si>
    <t>导游端发起会话、游客扫码入组、多语字幕分发、团体导览内容推送与会话管理</t>
  </si>
  <si>
    <t>Agent产品化</t>
  </si>
  <si>
    <t>游客画像、偏好记忆与个性化推荐</t>
  </si>
  <si>
    <t>形成可授权的游客偏好档案；支持兴趣标签、历史会话记忆、个性化路线/内容/文创推荐</t>
  </si>
  <si>
    <t>多角色 Agent 协同与任务编排</t>
  </si>
  <si>
    <t>导览、票务、商品服务、应急咨询等角色Agent分工协作；支持任务路由、状态回传与人工接管</t>
  </si>
  <si>
    <t>运营数据资产</t>
  </si>
  <si>
    <t>Agent 评测体系与经营数据驾驶舱</t>
  </si>
  <si>
    <t>问答命中率、满意度、转化线索、热门场景、语种热度及内容缺口分析；支持迭代评测与月度运营报告</t>
  </si>
  <si>
    <t>项目首期建设及首年运营投入（含税）</t>
  </si>
  <si>
    <t>商务交付边界、商业价值与实施说明</t>
  </si>
  <si>
    <t>1．核心业务链路：游客通过 H5 / 智能耳机进入服务，Agent基于场景、偏好与知识图谱提供导览、问答、实时沟通和推荐；运营后台持续沉淀内容与行为数据。</t>
  </si>
  <si>
    <t>2．投资价值：交付的不仅是导览系统，还包括可复用的场景知识资产、Agent能力组件、运营数据指标体系及可复制的行业部署方法。</t>
  </si>
  <si>
    <t>3．扩展交付口径：共 120 条录播内容、18 种目标语言/区域变体、50 个景区/卖场/服务节点、约 5,000 条知识单元，并支持团体一对多讲解。</t>
  </si>
  <si>
    <t>4．实时沟通边界：游客手机 H5 采集语音 → 云端识别/翻译 → 工作人员手机播放译文至已配对耳机；反向由耳机麦克风采集 → 游客 H5 展示译文。</t>
  </si>
  <si>
    <t>5．浏览器/机型限制：H5 不能绕过系统蓝牙配对；目标 Android/iOS 机型须在签约前完成 POC，最终按约定机型和网络环境验收。</t>
  </si>
  <si>
    <t>6．不含：短信/实名服务、专线与场馆 Wi-Fi 改造、超过 50 套量产、外部业务系统接口费及第三方内容版权授权费。</t>
  </si>
  <si>
    <t>7．商务建议：付款 50%（启动）/20%（中期联调）/20%（上线验收）/10%（质保期满）；报价有效期 60 天，正式合同以需求冻结清单为准。</t>
  </si>
  <si>
    <t>8．豆包能力与计费参考：https://www.volcengine.com/products/Audio-editing-and-sound-processing ｜ https://www.volcengine.com/docs/82379/1544681?lang=zh</t>
  </si>
  <si>
    <t>9．编制日期：2026-08-31　｜　金额单位：人民币元　｜　第三方云服务按实际账单结算，预付预算不足部分不包含在固定总价内。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</si>
</sst>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\¥#,##0"/>
  </numFmts>
  <fonts count="35">
    <font>
      <sz val="11"/>
      <name val="Carlito"/>
      <charset val="134"/>
    </font>
    <font>
      <b/>
      <sz val="18"/>
      <color rgb="FFFFFFFF"/>
      <name val="Microsoft YaHei"/>
      <charset val="134"/>
    </font>
    <font>
      <sz val="11"/>
      <color rgb="FF4B1621"/>
      <name val="Microsoft YaHei"/>
      <charset val="134"/>
    </font>
    <font>
      <b/>
      <sz val="10"/>
      <color rgb="FF4B1621"/>
      <name val="Microsoft YaHei"/>
      <charset val="134"/>
    </font>
    <font>
      <sz val="10"/>
      <color rgb="FF2D2926"/>
      <name val="Microsoft YaHei"/>
      <charset val="134"/>
    </font>
    <font>
      <b/>
      <sz val="16"/>
      <color rgb="FF7A1F2B"/>
      <name val="Microsoft YaHei"/>
      <charset val="134"/>
    </font>
    <font>
      <b/>
      <sz val="12"/>
      <color rgb="FF7A1F2B"/>
      <name val="Microsoft YaHei"/>
      <charset val="134"/>
    </font>
    <font>
      <sz val="11"/>
      <name val="Microsoft YaHei"/>
      <charset val="134"/>
    </font>
    <font>
      <b/>
      <sz val="10"/>
      <color rgb="FFFFFFFF"/>
      <name val="Microsoft YaHei"/>
      <charset val="134"/>
    </font>
    <font>
      <sz val="9"/>
      <color rgb="FF2D2926"/>
      <name val="Microsoft YaHei"/>
      <charset val="134"/>
    </font>
    <font>
      <b/>
      <sz val="9"/>
      <color rgb="FF4B1621"/>
      <name val="Microsoft YaHei"/>
      <charset val="134"/>
    </font>
    <font>
      <sz val="9"/>
      <color rgb="FF1F4E78"/>
      <name val="Microsoft YaHei"/>
      <charset val="134"/>
    </font>
    <font>
      <b/>
      <sz val="12"/>
      <color rgb="FFFFFFFF"/>
      <name val="Microsoft YaHei"/>
      <charset val="134"/>
    </font>
    <font>
      <b/>
      <sz val="11"/>
      <color rgb="FF4B1621"/>
      <name val="Microsoft YaHei"/>
      <charset val="134"/>
    </font>
    <font>
      <sz val="9"/>
      <color rgb="FF6B625B"/>
      <name val="Microsoft YaHe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7A1F2B"/>
        <bgColor indexed="64"/>
      </patternFill>
    </fill>
    <fill>
      <patternFill patternType="solid">
        <fgColor rgb="FFF7EFE3"/>
        <bgColor indexed="64"/>
      </patternFill>
    </fill>
    <fill>
      <patternFill patternType="solid">
        <fgColor rgb="FFFCF9F4"/>
        <bgColor indexed="64"/>
      </patternFill>
    </fill>
    <fill>
      <patternFill patternType="solid">
        <fgColor rgb="FFFFF0C7"/>
        <bgColor indexed="64"/>
      </patternFill>
    </fill>
    <fill>
      <patternFill patternType="solid">
        <fgColor rgb="FF4B1621"/>
        <bgColor indexed="64"/>
      </patternFill>
    </fill>
    <fill>
      <patternFill patternType="solid">
        <fgColor rgb="FFF3ECE5"/>
        <bgColor indexed="64"/>
      </patternFill>
    </fill>
    <fill>
      <patternFill patternType="solid">
        <fgColor rgb="FFF2F6FA"/>
        <bgColor indexed="64"/>
      </patternFill>
    </fill>
    <fill>
      <patternFill patternType="solid">
        <fgColor rgb="FFEDF5EE"/>
        <bgColor indexed="64"/>
      </patternFill>
    </fill>
    <fill>
      <patternFill patternType="solid">
        <fgColor rgb="FFD6A64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7">
    <border>
      <left/>
      <right/>
      <top/>
      <bottom/>
      <diagonal/>
    </border>
    <border>
      <left/>
      <right style="thin">
        <color rgb="FFD8CEC2"/>
      </right>
      <top/>
      <bottom style="thin">
        <color rgb="FFD8CEC2"/>
      </bottom>
      <diagonal/>
    </border>
    <border>
      <left style="thin">
        <color rgb="FFD8CEC2"/>
      </left>
      <right style="thin">
        <color rgb="FFD8CEC2"/>
      </right>
      <top/>
      <bottom style="thin">
        <color rgb="FFD8CEC2"/>
      </bottom>
      <diagonal/>
    </border>
    <border>
      <left style="thin">
        <color rgb="FFD8CEC2"/>
      </left>
      <right/>
      <top/>
      <bottom style="thin">
        <color rgb="FFD8CEC2"/>
      </bottom>
      <diagonal/>
    </border>
    <border>
      <left/>
      <right style="thin">
        <color rgb="FFD8CEC2"/>
      </right>
      <top style="thin">
        <color rgb="FFD8CEC2"/>
      </top>
      <bottom style="thin">
        <color rgb="FFD8CEC2"/>
      </bottom>
      <diagonal/>
    </border>
    <border>
      <left style="thin">
        <color rgb="FFD8CEC2"/>
      </left>
      <right style="thin">
        <color rgb="FFD8CEC2"/>
      </right>
      <top style="thin">
        <color rgb="FFD8CEC2"/>
      </top>
      <bottom style="thin">
        <color rgb="FFD8CEC2"/>
      </bottom>
      <diagonal/>
    </border>
    <border>
      <left style="thin">
        <color rgb="FFD8CEC2"/>
      </left>
      <right/>
      <top style="thin">
        <color rgb="FFD8CEC2"/>
      </top>
      <bottom style="thin">
        <color rgb="FFD8CEC2"/>
      </bottom>
      <diagonal/>
    </border>
    <border>
      <left/>
      <right style="thin">
        <color rgb="FFD8CEC2"/>
      </right>
      <top style="thin">
        <color rgb="FFD8CEC2"/>
      </top>
      <bottom/>
      <diagonal/>
    </border>
    <border>
      <left style="thin">
        <color rgb="FFD8CEC2"/>
      </left>
      <right style="thin">
        <color rgb="FFD8CEC2"/>
      </right>
      <top style="thin">
        <color rgb="FFD8CEC2"/>
      </top>
      <bottom/>
      <diagonal/>
    </border>
    <border>
      <left style="thin">
        <color rgb="FFD8CEC2"/>
      </left>
      <right/>
      <top style="thin">
        <color rgb="FFD8CEC2"/>
      </top>
      <bottom/>
      <diagonal/>
    </border>
    <border>
      <left style="thin">
        <color rgb="FFB98A92"/>
      </left>
      <right style="thin">
        <color rgb="FFB98A92"/>
      </right>
      <top style="thin">
        <color rgb="FFB98A92"/>
      </top>
      <bottom style="thin">
        <color rgb="FFB98A92"/>
      </bottom>
      <diagonal/>
    </border>
    <border>
      <left/>
      <right/>
      <top/>
      <bottom style="thin">
        <color rgb="FFD8CEC2"/>
      </bottom>
      <diagonal/>
    </border>
    <border>
      <left/>
      <right/>
      <top style="thin">
        <color rgb="FFD8CEC2"/>
      </top>
      <bottom style="thin">
        <color rgb="FFD8CEC2"/>
      </bottom>
      <diagonal/>
    </border>
    <border>
      <left style="medium">
        <color rgb="FF4B1621"/>
      </left>
      <right/>
      <top style="medium">
        <color rgb="FF4B1621"/>
      </top>
      <bottom style="medium">
        <color rgb="FF4B1621"/>
      </bottom>
      <diagonal/>
    </border>
    <border>
      <left/>
      <right/>
      <top style="medium">
        <color rgb="FF4B1621"/>
      </top>
      <bottom style="medium">
        <color rgb="FF4B1621"/>
      </bottom>
      <diagonal/>
    </border>
    <border>
      <left/>
      <right style="medium">
        <color rgb="FF4B1621"/>
      </right>
      <top style="medium">
        <color rgb="FF4B1621"/>
      </top>
      <bottom style="medium">
        <color rgb="FF4B1621"/>
      </bottom>
      <diagonal/>
    </border>
    <border>
      <left/>
      <right/>
      <top/>
      <bottom style="thin">
        <color rgb="FFE8E0D7"/>
      </bottom>
      <diagonal/>
    </border>
    <border>
      <left/>
      <right/>
      <top style="thin">
        <color rgb="FFE8E0D7"/>
      </top>
      <bottom style="thin">
        <color rgb="FFE8E0D7"/>
      </bottom>
      <diagonal/>
    </border>
    <border>
      <left/>
      <right/>
      <top style="thin">
        <color rgb="FFE8E0D7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15" fillId="0" borderId="0">
      <alignment vertical="center"/>
    </xf>
    <xf numFmtId="43" fontId="15" fillId="0" borderId="0" applyFont="0" applyFill="0" applyBorder="0" applyAlignment="0" applyProtection="0">
      <alignment vertical="center"/>
    </xf>
    <xf numFmtId="44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2" fontId="15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5" fillId="11" borderId="19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20" applyNumberFormat="0" applyFill="0" applyAlignment="0" applyProtection="0">
      <alignment vertical="center"/>
    </xf>
    <xf numFmtId="0" fontId="22" fillId="0" borderId="20" applyNumberFormat="0" applyFill="0" applyAlignment="0" applyProtection="0">
      <alignment vertical="center"/>
    </xf>
    <xf numFmtId="0" fontId="23" fillId="0" borderId="21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12" borderId="22" applyNumberFormat="0" applyAlignment="0" applyProtection="0">
      <alignment vertical="center"/>
    </xf>
    <xf numFmtId="0" fontId="25" fillId="13" borderId="23" applyNumberFormat="0" applyAlignment="0" applyProtection="0">
      <alignment vertical="center"/>
    </xf>
    <xf numFmtId="0" fontId="26" fillId="13" borderId="22" applyNumberFormat="0" applyAlignment="0" applyProtection="0">
      <alignment vertical="center"/>
    </xf>
    <xf numFmtId="0" fontId="27" fillId="14" borderId="24" applyNumberFormat="0" applyAlignment="0" applyProtection="0">
      <alignment vertical="center"/>
    </xf>
    <xf numFmtId="0" fontId="28" fillId="0" borderId="25" applyNumberFormat="0" applyFill="0" applyAlignment="0" applyProtection="0">
      <alignment vertical="center"/>
    </xf>
    <xf numFmtId="0" fontId="29" fillId="0" borderId="26" applyNumberFormat="0" applyFill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4" fillId="36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34" fillId="39" borderId="0" applyNumberFormat="0" applyBorder="0" applyAlignment="0" applyProtection="0">
      <alignment vertical="center"/>
    </xf>
    <xf numFmtId="0" fontId="34" fillId="40" borderId="0" applyNumberFormat="0" applyBorder="0" applyAlignment="0" applyProtection="0">
      <alignment vertical="center"/>
    </xf>
    <xf numFmtId="0" fontId="33" fillId="41" borderId="0" applyNumberFormat="0" applyBorder="0" applyAlignment="0" applyProtection="0">
      <alignment vertical="center"/>
    </xf>
    <xf numFmtId="0" fontId="0" fillId="0" borderId="0"/>
  </cellStyleXfs>
  <cellXfs count="36">
    <xf numFmtId="0" fontId="0" fillId="0" borderId="0" xfId="49"/>
    <xf numFmtId="0" fontId="1" fillId="2" borderId="0" xfId="49" applyNumberFormat="1" applyFont="1" applyFill="1" applyBorder="1" applyAlignment="1">
      <alignment horizontal="center" vertical="center"/>
    </xf>
    <xf numFmtId="0" fontId="2" fillId="3" borderId="0" xfId="49" applyNumberFormat="1" applyFont="1" applyFill="1" applyBorder="1" applyAlignment="1">
      <alignment horizontal="center" vertical="center" wrapText="1"/>
    </xf>
    <xf numFmtId="0" fontId="3" fillId="4" borderId="1" xfId="49" applyNumberFormat="1" applyFont="1" applyFill="1" applyBorder="1" applyAlignment="1">
      <alignment vertical="center" wrapText="1"/>
    </xf>
    <xf numFmtId="0" fontId="3" fillId="4" borderId="2" xfId="49" applyNumberFormat="1" applyFont="1" applyFill="1" applyBorder="1" applyAlignment="1">
      <alignment vertical="center" wrapText="1"/>
    </xf>
    <xf numFmtId="0" fontId="4" fillId="4" borderId="2" xfId="49" applyNumberFormat="1" applyFont="1" applyFill="1" applyBorder="1" applyAlignment="1">
      <alignment vertical="center" wrapText="1"/>
    </xf>
    <xf numFmtId="0" fontId="4" fillId="4" borderId="3" xfId="49" applyNumberFormat="1" applyFont="1" applyFill="1" applyBorder="1" applyAlignment="1">
      <alignment vertical="center" wrapText="1"/>
    </xf>
    <xf numFmtId="0" fontId="3" fillId="4" borderId="4" xfId="49" applyNumberFormat="1" applyFont="1" applyFill="1" applyBorder="1" applyAlignment="1">
      <alignment vertical="center" wrapText="1"/>
    </xf>
    <xf numFmtId="0" fontId="3" fillId="4" borderId="5" xfId="49" applyNumberFormat="1" applyFont="1" applyFill="1" applyBorder="1" applyAlignment="1">
      <alignment vertical="center" wrapText="1"/>
    </xf>
    <xf numFmtId="0" fontId="4" fillId="4" borderId="5" xfId="49" applyNumberFormat="1" applyFont="1" applyFill="1" applyBorder="1" applyAlignment="1">
      <alignment vertical="center" wrapText="1"/>
    </xf>
    <xf numFmtId="0" fontId="4" fillId="4" borderId="6" xfId="49" applyNumberFormat="1" applyFont="1" applyFill="1" applyBorder="1" applyAlignment="1">
      <alignment vertical="center" wrapText="1"/>
    </xf>
    <xf numFmtId="0" fontId="3" fillId="4" borderId="7" xfId="49" applyNumberFormat="1" applyFont="1" applyFill="1" applyBorder="1" applyAlignment="1">
      <alignment vertical="center" wrapText="1"/>
    </xf>
    <xf numFmtId="0" fontId="3" fillId="4" borderId="8" xfId="49" applyNumberFormat="1" applyFont="1" applyFill="1" applyBorder="1" applyAlignment="1">
      <alignment vertical="center" wrapText="1"/>
    </xf>
    <xf numFmtId="176" fontId="5" fillId="5" borderId="8" xfId="49" applyNumberFormat="1" applyFont="1" applyFill="1" applyBorder="1" applyAlignment="1">
      <alignment horizontal="center" vertical="center" wrapText="1"/>
    </xf>
    <xf numFmtId="176" fontId="6" fillId="5" borderId="9" xfId="49" applyNumberFormat="1" applyFont="1" applyFill="1" applyBorder="1" applyAlignment="1">
      <alignment horizontal="right" vertical="center" wrapText="1"/>
    </xf>
    <xf numFmtId="0" fontId="7" fillId="0" borderId="0" xfId="49" applyNumberFormat="1" applyFont="1" applyFill="1" applyBorder="1"/>
    <xf numFmtId="0" fontId="8" fillId="6" borderId="10" xfId="49" applyNumberFormat="1" applyFont="1" applyFill="1" applyBorder="1" applyAlignment="1">
      <alignment horizontal="center" vertical="center" wrapText="1"/>
    </xf>
    <xf numFmtId="0" fontId="9" fillId="0" borderId="11" xfId="49" applyNumberFormat="1" applyFont="1" applyFill="1" applyBorder="1" applyAlignment="1">
      <alignment horizontal="center" vertical="center" wrapText="1"/>
    </xf>
    <xf numFmtId="0" fontId="10" fillId="7" borderId="11" xfId="49" applyNumberFormat="1" applyFont="1" applyFill="1" applyBorder="1" applyAlignment="1">
      <alignment horizontal="center" vertical="center" wrapText="1"/>
    </xf>
    <xf numFmtId="0" fontId="9" fillId="0" borderId="11" xfId="49" applyNumberFormat="1" applyFont="1" applyFill="1" applyBorder="1" applyAlignment="1">
      <alignment vertical="center" wrapText="1"/>
    </xf>
    <xf numFmtId="1" fontId="11" fillId="0" borderId="11" xfId="49" applyNumberFormat="1" applyFont="1" applyFill="1" applyBorder="1" applyAlignment="1">
      <alignment horizontal="center" vertical="center" wrapText="1"/>
    </xf>
    <xf numFmtId="176" fontId="9" fillId="8" borderId="11" xfId="49" applyNumberFormat="1" applyFont="1" applyFill="1" applyBorder="1" applyAlignment="1">
      <alignment horizontal="right" vertical="center" wrapText="1"/>
    </xf>
    <xf numFmtId="176" fontId="9" fillId="9" borderId="11" xfId="49" applyNumberFormat="1" applyFont="1" applyFill="1" applyBorder="1" applyAlignment="1">
      <alignment horizontal="right" vertical="center" wrapText="1"/>
    </xf>
    <xf numFmtId="0" fontId="9" fillId="0" borderId="12" xfId="49" applyNumberFormat="1" applyFont="1" applyFill="1" applyBorder="1" applyAlignment="1">
      <alignment horizontal="center" vertical="center" wrapText="1"/>
    </xf>
    <xf numFmtId="0" fontId="10" fillId="7" borderId="12" xfId="49" applyNumberFormat="1" applyFont="1" applyFill="1" applyBorder="1" applyAlignment="1">
      <alignment horizontal="center" vertical="center" wrapText="1"/>
    </xf>
    <xf numFmtId="0" fontId="9" fillId="0" borderId="12" xfId="49" applyNumberFormat="1" applyFont="1" applyFill="1" applyBorder="1" applyAlignment="1">
      <alignment vertical="center" wrapText="1"/>
    </xf>
    <xf numFmtId="1" fontId="11" fillId="0" borderId="12" xfId="49" applyNumberFormat="1" applyFont="1" applyFill="1" applyBorder="1" applyAlignment="1">
      <alignment horizontal="center" vertical="center" wrapText="1"/>
    </xf>
    <xf numFmtId="176" fontId="9" fillId="8" borderId="12" xfId="49" applyNumberFormat="1" applyFont="1" applyFill="1" applyBorder="1" applyAlignment="1">
      <alignment horizontal="right" vertical="center" wrapText="1"/>
    </xf>
    <xf numFmtId="176" fontId="9" fillId="9" borderId="12" xfId="49" applyNumberFormat="1" applyFont="1" applyFill="1" applyBorder="1" applyAlignment="1">
      <alignment horizontal="right" vertical="center" wrapText="1"/>
    </xf>
    <xf numFmtId="0" fontId="12" fillId="2" borderId="13" xfId="49" applyNumberFormat="1" applyFont="1" applyFill="1" applyBorder="1" applyAlignment="1">
      <alignment vertical="center"/>
    </xf>
    <xf numFmtId="0" fontId="12" fillId="2" borderId="14" xfId="49" applyNumberFormat="1" applyFont="1" applyFill="1" applyBorder="1" applyAlignment="1">
      <alignment vertical="center"/>
    </xf>
    <xf numFmtId="176" fontId="12" fillId="2" borderId="15" xfId="49" applyNumberFormat="1" applyFont="1" applyFill="1" applyBorder="1" applyAlignment="1">
      <alignment vertical="center"/>
    </xf>
    <xf numFmtId="0" fontId="13" fillId="10" borderId="0" xfId="49" applyNumberFormat="1" applyFont="1" applyFill="1" applyBorder="1" applyAlignment="1">
      <alignment horizontal="left" vertical="center"/>
    </xf>
    <xf numFmtId="0" fontId="14" fillId="4" borderId="16" xfId="49" applyNumberFormat="1" applyFont="1" applyFill="1" applyBorder="1" applyAlignment="1">
      <alignment vertical="center" wrapText="1"/>
    </xf>
    <xf numFmtId="0" fontId="14" fillId="4" borderId="17" xfId="49" applyNumberFormat="1" applyFont="1" applyFill="1" applyBorder="1" applyAlignment="1">
      <alignment vertical="center" wrapText="1"/>
    </xf>
    <xf numFmtId="0" fontId="14" fillId="4" borderId="18" xfId="49" applyNumberFormat="1" applyFont="1" applyFill="1" applyBorder="1" applyAlignment="1">
      <alignment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9"/>
  <sheetViews>
    <sheetView showGridLines="0" tabSelected="1" topLeftCell="A35" workbookViewId="0">
      <selection activeCell="A47" sqref="A47:G47"/>
    </sheetView>
  </sheetViews>
  <sheetFormatPr defaultColWidth="9" defaultRowHeight="14.25" outlineLevelCol="6"/>
  <cols>
    <col min="1" max="1" width="7" customWidth="1"/>
    <col min="2" max="2" width="14" customWidth="1"/>
    <col min="3" max="3" width="29" customWidth="1"/>
    <col min="4" max="4" width="62" customWidth="1"/>
    <col min="5" max="5" width="10" customWidth="1"/>
    <col min="6" max="7" width="16" customWidth="1"/>
  </cols>
  <sheetData>
    <row r="1" ht="34" customHeight="1" spans="1:7">
      <c r="A1" s="1" t="s">
        <v>0</v>
      </c>
      <c r="B1" s="1"/>
      <c r="C1" s="1"/>
      <c r="D1" s="1"/>
      <c r="E1" s="1"/>
      <c r="F1" s="1"/>
      <c r="G1" s="1"/>
    </row>
    <row r="2" ht="34" customHeight="1" spans="1:7">
      <c r="A2" s="2" t="s">
        <v>1</v>
      </c>
      <c r="B2" s="2"/>
      <c r="C2" s="2"/>
      <c r="D2" s="2"/>
      <c r="E2" s="2"/>
      <c r="F2" s="2"/>
      <c r="G2" s="2"/>
    </row>
    <row r="3" ht="34" customHeight="1" spans="1:7">
      <c r="A3" s="3" t="s">
        <v>2</v>
      </c>
      <c r="B3" s="4"/>
      <c r="C3" s="5" t="s">
        <v>3</v>
      </c>
      <c r="D3" s="5"/>
      <c r="E3" s="5"/>
      <c r="F3" s="5"/>
      <c r="G3" s="6"/>
    </row>
    <row r="4" ht="34" customHeight="1" spans="1:7">
      <c r="A4" s="7" t="s">
        <v>4</v>
      </c>
      <c r="B4" s="8"/>
      <c r="C4" s="9" t="s">
        <v>5</v>
      </c>
      <c r="D4" s="9"/>
      <c r="E4" s="8" t="s">
        <v>6</v>
      </c>
      <c r="F4" s="8"/>
      <c r="G4" s="10" t="s">
        <v>7</v>
      </c>
    </row>
    <row r="5" ht="34" customHeight="1" spans="1:7">
      <c r="A5" s="11" t="s">
        <v>8</v>
      </c>
      <c r="B5" s="12"/>
      <c r="C5" s="13">
        <f>G38</f>
        <v>830000</v>
      </c>
      <c r="D5" s="13"/>
      <c r="E5" s="12" t="s">
        <v>9</v>
      </c>
      <c r="F5" s="12"/>
      <c r="G5" s="14">
        <v>78000</v>
      </c>
    </row>
    <row r="6" ht="16.5" spans="1:7">
      <c r="A6" s="15"/>
      <c r="B6" s="15"/>
      <c r="C6" s="15"/>
      <c r="D6" s="15"/>
      <c r="E6" s="15"/>
      <c r="F6" s="15"/>
      <c r="G6" s="15"/>
    </row>
    <row r="7" ht="36" customHeight="1" spans="1:7">
      <c r="A7" s="16" t="s">
        <v>10</v>
      </c>
      <c r="B7" s="16" t="s">
        <v>11</v>
      </c>
      <c r="C7" s="16" t="s">
        <v>12</v>
      </c>
      <c r="D7" s="16" t="s">
        <v>13</v>
      </c>
      <c r="E7" s="16" t="s">
        <v>14</v>
      </c>
      <c r="F7" s="16" t="s">
        <v>15</v>
      </c>
      <c r="G7" s="16" t="s">
        <v>16</v>
      </c>
    </row>
    <row r="8" ht="42" customHeight="1" spans="1:7">
      <c r="A8" s="17">
        <v>1</v>
      </c>
      <c r="B8" s="18" t="s">
        <v>17</v>
      </c>
      <c r="C8" s="19" t="s">
        <v>18</v>
      </c>
      <c r="D8" s="19" t="s">
        <v>19</v>
      </c>
      <c r="E8" s="20">
        <v>1</v>
      </c>
      <c r="F8" s="21">
        <v>22000</v>
      </c>
      <c r="G8" s="22">
        <f t="shared" ref="G8:G37" si="0">E8*F8</f>
        <v>22000</v>
      </c>
    </row>
    <row r="9" ht="42" customHeight="1" spans="1:7">
      <c r="A9" s="23">
        <v>2</v>
      </c>
      <c r="B9" s="24" t="s">
        <v>17</v>
      </c>
      <c r="C9" s="25" t="s">
        <v>20</v>
      </c>
      <c r="D9" s="25" t="s">
        <v>21</v>
      </c>
      <c r="E9" s="26">
        <v>1</v>
      </c>
      <c r="F9" s="27">
        <v>42000</v>
      </c>
      <c r="G9" s="28">
        <f t="shared" si="0"/>
        <v>42000</v>
      </c>
    </row>
    <row r="10" ht="42" customHeight="1" spans="1:7">
      <c r="A10" s="23">
        <v>3</v>
      </c>
      <c r="B10" s="24" t="s">
        <v>17</v>
      </c>
      <c r="C10" s="25" t="s">
        <v>22</v>
      </c>
      <c r="D10" s="25" t="s">
        <v>23</v>
      </c>
      <c r="E10" s="26">
        <v>1</v>
      </c>
      <c r="F10" s="27">
        <v>55000</v>
      </c>
      <c r="G10" s="28">
        <f t="shared" si="0"/>
        <v>55000</v>
      </c>
    </row>
    <row r="11" ht="42" customHeight="1" spans="1:7">
      <c r="A11" s="23">
        <v>4</v>
      </c>
      <c r="B11" s="24" t="s">
        <v>17</v>
      </c>
      <c r="C11" s="25" t="s">
        <v>24</v>
      </c>
      <c r="D11" s="25" t="s">
        <v>25</v>
      </c>
      <c r="E11" s="26">
        <v>1</v>
      </c>
      <c r="F11" s="27">
        <v>30000</v>
      </c>
      <c r="G11" s="28">
        <f t="shared" si="0"/>
        <v>30000</v>
      </c>
    </row>
    <row r="12" ht="42" customHeight="1" spans="1:7">
      <c r="A12" s="23">
        <v>5</v>
      </c>
      <c r="B12" s="24" t="s">
        <v>17</v>
      </c>
      <c r="C12" s="25" t="s">
        <v>26</v>
      </c>
      <c r="D12" s="25" t="s">
        <v>27</v>
      </c>
      <c r="E12" s="26">
        <v>50</v>
      </c>
      <c r="F12" s="27">
        <v>500</v>
      </c>
      <c r="G12" s="28">
        <f t="shared" si="0"/>
        <v>25000</v>
      </c>
    </row>
    <row r="13" ht="42" customHeight="1" spans="1:7">
      <c r="A13" s="23">
        <v>6</v>
      </c>
      <c r="B13" s="24" t="s">
        <v>28</v>
      </c>
      <c r="C13" s="25" t="s">
        <v>29</v>
      </c>
      <c r="D13" s="25" t="s">
        <v>30</v>
      </c>
      <c r="E13" s="26">
        <v>1</v>
      </c>
      <c r="F13" s="27">
        <v>28000</v>
      </c>
      <c r="G13" s="28">
        <f t="shared" si="0"/>
        <v>28000</v>
      </c>
    </row>
    <row r="14" ht="42" customHeight="1" spans="1:7">
      <c r="A14" s="23">
        <v>7</v>
      </c>
      <c r="B14" s="24" t="s">
        <v>31</v>
      </c>
      <c r="C14" s="25" t="s">
        <v>32</v>
      </c>
      <c r="D14" s="25" t="s">
        <v>33</v>
      </c>
      <c r="E14" s="26">
        <v>1</v>
      </c>
      <c r="F14" s="27">
        <v>12000</v>
      </c>
      <c r="G14" s="28">
        <f t="shared" si="0"/>
        <v>12000</v>
      </c>
    </row>
    <row r="15" ht="42" customHeight="1" spans="1:7">
      <c r="A15" s="23">
        <v>8</v>
      </c>
      <c r="B15" s="24" t="s">
        <v>34</v>
      </c>
      <c r="C15" s="25" t="s">
        <v>35</v>
      </c>
      <c r="D15" s="25" t="s">
        <v>36</v>
      </c>
      <c r="E15" s="26">
        <v>1</v>
      </c>
      <c r="F15" s="27">
        <v>18000</v>
      </c>
      <c r="G15" s="28">
        <f t="shared" si="0"/>
        <v>18000</v>
      </c>
    </row>
    <row r="16" ht="42" customHeight="1" spans="1:7">
      <c r="A16" s="23">
        <v>9</v>
      </c>
      <c r="B16" s="24" t="s">
        <v>37</v>
      </c>
      <c r="C16" s="25" t="s">
        <v>38</v>
      </c>
      <c r="D16" s="25" t="s">
        <v>39</v>
      </c>
      <c r="E16" s="26">
        <v>1</v>
      </c>
      <c r="F16" s="27">
        <v>32000</v>
      </c>
      <c r="G16" s="28">
        <f t="shared" si="0"/>
        <v>32000</v>
      </c>
    </row>
    <row r="17" ht="42" customHeight="1" spans="1:7">
      <c r="A17" s="23">
        <v>10</v>
      </c>
      <c r="B17" s="24" t="s">
        <v>37</v>
      </c>
      <c r="C17" s="25" t="s">
        <v>40</v>
      </c>
      <c r="D17" s="25" t="s">
        <v>41</v>
      </c>
      <c r="E17" s="26">
        <v>1</v>
      </c>
      <c r="F17" s="27">
        <v>22000</v>
      </c>
      <c r="G17" s="28">
        <f t="shared" si="0"/>
        <v>22000</v>
      </c>
    </row>
    <row r="18" ht="42" customHeight="1" spans="1:7">
      <c r="A18" s="23">
        <v>11</v>
      </c>
      <c r="B18" s="24" t="s">
        <v>42</v>
      </c>
      <c r="C18" s="25" t="s">
        <v>43</v>
      </c>
      <c r="D18" s="25" t="s">
        <v>44</v>
      </c>
      <c r="E18" s="26">
        <v>1</v>
      </c>
      <c r="F18" s="27">
        <v>30000</v>
      </c>
      <c r="G18" s="28">
        <f t="shared" si="0"/>
        <v>30000</v>
      </c>
    </row>
    <row r="19" ht="42" customHeight="1" spans="1:7">
      <c r="A19" s="23">
        <v>12</v>
      </c>
      <c r="B19" s="24" t="s">
        <v>34</v>
      </c>
      <c r="C19" s="25" t="s">
        <v>45</v>
      </c>
      <c r="D19" s="25" t="s">
        <v>46</v>
      </c>
      <c r="E19" s="26">
        <v>1</v>
      </c>
      <c r="F19" s="27">
        <v>18000</v>
      </c>
      <c r="G19" s="28">
        <f t="shared" si="0"/>
        <v>18000</v>
      </c>
    </row>
    <row r="20" ht="42" customHeight="1" spans="1:7">
      <c r="A20" s="23">
        <v>13</v>
      </c>
      <c r="B20" s="24" t="s">
        <v>47</v>
      </c>
      <c r="C20" s="25" t="s">
        <v>48</v>
      </c>
      <c r="D20" s="25" t="s">
        <v>49</v>
      </c>
      <c r="E20" s="26">
        <v>1</v>
      </c>
      <c r="F20" s="27">
        <v>26000</v>
      </c>
      <c r="G20" s="28">
        <f t="shared" si="0"/>
        <v>26000</v>
      </c>
    </row>
    <row r="21" ht="42" customHeight="1" spans="1:7">
      <c r="A21" s="23">
        <v>14</v>
      </c>
      <c r="B21" s="24" t="s">
        <v>50</v>
      </c>
      <c r="C21" s="25" t="s">
        <v>51</v>
      </c>
      <c r="D21" s="25" t="s">
        <v>52</v>
      </c>
      <c r="E21" s="26">
        <v>1</v>
      </c>
      <c r="F21" s="27">
        <v>28000</v>
      </c>
      <c r="G21" s="28">
        <f t="shared" si="0"/>
        <v>28000</v>
      </c>
    </row>
    <row r="22" ht="42" customHeight="1" spans="1:7">
      <c r="A22" s="23">
        <v>15</v>
      </c>
      <c r="B22" s="24" t="s">
        <v>50</v>
      </c>
      <c r="C22" s="25" t="s">
        <v>53</v>
      </c>
      <c r="D22" s="25" t="s">
        <v>54</v>
      </c>
      <c r="E22" s="26">
        <v>1</v>
      </c>
      <c r="F22" s="27">
        <v>38000</v>
      </c>
      <c r="G22" s="28">
        <f t="shared" si="0"/>
        <v>38000</v>
      </c>
    </row>
    <row r="23" ht="42" customHeight="1" spans="1:7">
      <c r="A23" s="23">
        <v>16</v>
      </c>
      <c r="B23" s="24" t="s">
        <v>34</v>
      </c>
      <c r="C23" s="25" t="s">
        <v>55</v>
      </c>
      <c r="D23" s="25" t="s">
        <v>56</v>
      </c>
      <c r="E23" s="26">
        <v>1</v>
      </c>
      <c r="F23" s="27">
        <v>30000</v>
      </c>
      <c r="G23" s="28">
        <f t="shared" si="0"/>
        <v>30000</v>
      </c>
    </row>
    <row r="24" ht="42" customHeight="1" spans="1:7">
      <c r="A24" s="23">
        <v>17</v>
      </c>
      <c r="B24" s="24" t="s">
        <v>50</v>
      </c>
      <c r="C24" s="25" t="s">
        <v>57</v>
      </c>
      <c r="D24" s="25" t="s">
        <v>58</v>
      </c>
      <c r="E24" s="26">
        <v>1</v>
      </c>
      <c r="F24" s="27">
        <v>20000</v>
      </c>
      <c r="G24" s="28">
        <f t="shared" si="0"/>
        <v>20000</v>
      </c>
    </row>
    <row r="25" ht="42" customHeight="1" spans="1:7">
      <c r="A25" s="23">
        <v>18</v>
      </c>
      <c r="B25" s="24" t="s">
        <v>50</v>
      </c>
      <c r="C25" s="25" t="s">
        <v>59</v>
      </c>
      <c r="D25" s="25" t="s">
        <v>60</v>
      </c>
      <c r="E25" s="26">
        <v>1</v>
      </c>
      <c r="F25" s="27">
        <v>16000</v>
      </c>
      <c r="G25" s="28">
        <f t="shared" si="0"/>
        <v>16000</v>
      </c>
    </row>
    <row r="26" ht="42" customHeight="1" spans="1:7">
      <c r="A26" s="23">
        <v>19</v>
      </c>
      <c r="B26" s="24" t="s">
        <v>61</v>
      </c>
      <c r="C26" s="25" t="s">
        <v>62</v>
      </c>
      <c r="D26" s="25" t="s">
        <v>63</v>
      </c>
      <c r="E26" s="26">
        <v>1</v>
      </c>
      <c r="F26" s="27">
        <v>18000</v>
      </c>
      <c r="G26" s="28">
        <f t="shared" si="0"/>
        <v>18000</v>
      </c>
    </row>
    <row r="27" ht="42" customHeight="1" spans="1:7">
      <c r="A27" s="23">
        <v>20</v>
      </c>
      <c r="B27" s="24" t="s">
        <v>64</v>
      </c>
      <c r="C27" s="25" t="s">
        <v>65</v>
      </c>
      <c r="D27" s="25" t="s">
        <v>66</v>
      </c>
      <c r="E27" s="26">
        <v>1</v>
      </c>
      <c r="F27" s="27">
        <v>18000</v>
      </c>
      <c r="G27" s="28">
        <f t="shared" si="0"/>
        <v>18000</v>
      </c>
    </row>
    <row r="28" ht="42" customHeight="1" spans="1:7">
      <c r="A28" s="23">
        <v>21</v>
      </c>
      <c r="B28" s="24" t="s">
        <v>34</v>
      </c>
      <c r="C28" s="25" t="s">
        <v>67</v>
      </c>
      <c r="D28" s="25" t="s">
        <v>68</v>
      </c>
      <c r="E28" s="26">
        <v>1</v>
      </c>
      <c r="F28" s="27">
        <v>30000</v>
      </c>
      <c r="G28" s="28">
        <f t="shared" si="0"/>
        <v>30000</v>
      </c>
    </row>
    <row r="29" ht="42" customHeight="1" spans="1:7">
      <c r="A29" s="23">
        <v>22</v>
      </c>
      <c r="B29" s="24" t="s">
        <v>69</v>
      </c>
      <c r="C29" s="25" t="s">
        <v>70</v>
      </c>
      <c r="D29" s="25" t="s">
        <v>71</v>
      </c>
      <c r="E29" s="26">
        <v>1</v>
      </c>
      <c r="F29" s="27">
        <v>22000</v>
      </c>
      <c r="G29" s="28">
        <f t="shared" si="0"/>
        <v>22000</v>
      </c>
    </row>
    <row r="30" ht="42" customHeight="1" spans="1:7">
      <c r="A30" s="23">
        <v>23</v>
      </c>
      <c r="B30" s="24" t="s">
        <v>72</v>
      </c>
      <c r="C30" s="25" t="s">
        <v>73</v>
      </c>
      <c r="D30" s="25" t="s">
        <v>74</v>
      </c>
      <c r="E30" s="26">
        <v>1</v>
      </c>
      <c r="F30" s="27">
        <v>25000</v>
      </c>
      <c r="G30" s="28">
        <f t="shared" si="0"/>
        <v>25000</v>
      </c>
    </row>
    <row r="31" ht="42" customHeight="1" spans="1:7">
      <c r="A31" s="23">
        <v>24</v>
      </c>
      <c r="B31" s="24" t="s">
        <v>75</v>
      </c>
      <c r="C31" s="25" t="s">
        <v>76</v>
      </c>
      <c r="D31" s="25" t="s">
        <v>77</v>
      </c>
      <c r="E31" s="26">
        <v>1</v>
      </c>
      <c r="F31" s="27">
        <v>28000</v>
      </c>
      <c r="G31" s="28">
        <f t="shared" si="0"/>
        <v>28000</v>
      </c>
    </row>
    <row r="32" ht="42" customHeight="1" spans="1:7">
      <c r="A32" s="23">
        <v>25</v>
      </c>
      <c r="B32" s="24" t="s">
        <v>78</v>
      </c>
      <c r="C32" s="25" t="s">
        <v>79</v>
      </c>
      <c r="D32" s="25" t="s">
        <v>80</v>
      </c>
      <c r="E32" s="26">
        <v>1</v>
      </c>
      <c r="F32" s="27">
        <v>65000</v>
      </c>
      <c r="G32" s="28">
        <f t="shared" si="0"/>
        <v>65000</v>
      </c>
    </row>
    <row r="33" ht="42" customHeight="1" spans="1:7">
      <c r="A33" s="23">
        <v>26</v>
      </c>
      <c r="B33" s="24" t="s">
        <v>81</v>
      </c>
      <c r="C33" s="25" t="s">
        <v>82</v>
      </c>
      <c r="D33" s="25" t="s">
        <v>83</v>
      </c>
      <c r="E33" s="26">
        <v>1</v>
      </c>
      <c r="F33" s="27">
        <v>25000</v>
      </c>
      <c r="G33" s="28">
        <f t="shared" si="0"/>
        <v>25000</v>
      </c>
    </row>
    <row r="34" ht="42" customHeight="1" spans="1:7">
      <c r="A34" s="23">
        <v>27</v>
      </c>
      <c r="B34" s="24" t="s">
        <v>84</v>
      </c>
      <c r="C34" s="25" t="s">
        <v>85</v>
      </c>
      <c r="D34" s="25" t="s">
        <v>86</v>
      </c>
      <c r="E34" s="26">
        <v>1</v>
      </c>
      <c r="F34" s="27">
        <v>20000</v>
      </c>
      <c r="G34" s="28">
        <f t="shared" si="0"/>
        <v>20000</v>
      </c>
    </row>
    <row r="35" ht="42" customHeight="1" spans="1:7">
      <c r="A35" s="23">
        <v>28</v>
      </c>
      <c r="B35" s="24" t="s">
        <v>87</v>
      </c>
      <c r="C35" s="25" t="s">
        <v>88</v>
      </c>
      <c r="D35" s="25" t="s">
        <v>89</v>
      </c>
      <c r="E35" s="26">
        <v>1</v>
      </c>
      <c r="F35" s="27">
        <v>28000</v>
      </c>
      <c r="G35" s="28">
        <f t="shared" si="0"/>
        <v>28000</v>
      </c>
    </row>
    <row r="36" ht="42" customHeight="1" spans="1:7">
      <c r="A36" s="23">
        <v>29</v>
      </c>
      <c r="B36" s="24" t="s">
        <v>87</v>
      </c>
      <c r="C36" s="25" t="s">
        <v>90</v>
      </c>
      <c r="D36" s="25" t="s">
        <v>91</v>
      </c>
      <c r="E36" s="26">
        <v>1</v>
      </c>
      <c r="F36" s="27">
        <v>30000</v>
      </c>
      <c r="G36" s="28">
        <f t="shared" si="0"/>
        <v>30000</v>
      </c>
    </row>
    <row r="37" ht="42" customHeight="1" spans="1:7">
      <c r="A37" s="23">
        <v>30</v>
      </c>
      <c r="B37" s="24" t="s">
        <v>92</v>
      </c>
      <c r="C37" s="25" t="s">
        <v>93</v>
      </c>
      <c r="D37" s="25" t="s">
        <v>94</v>
      </c>
      <c r="E37" s="26">
        <v>1</v>
      </c>
      <c r="F37" s="27">
        <v>29000</v>
      </c>
      <c r="G37" s="28">
        <f t="shared" si="0"/>
        <v>29000</v>
      </c>
    </row>
    <row r="38" ht="34" customHeight="1" spans="1:7">
      <c r="A38" s="29" t="s">
        <v>95</v>
      </c>
      <c r="B38" s="30"/>
      <c r="C38" s="30"/>
      <c r="D38" s="30"/>
      <c r="E38" s="30"/>
      <c r="F38" s="30"/>
      <c r="G38" s="31">
        <f>SUM(G8:G37)</f>
        <v>830000</v>
      </c>
    </row>
    <row r="39" ht="16.5" spans="1:7">
      <c r="A39" s="15"/>
      <c r="B39" s="15"/>
      <c r="C39" s="15"/>
      <c r="D39" s="15"/>
      <c r="E39" s="15"/>
      <c r="F39" s="15"/>
      <c r="G39" s="15"/>
    </row>
    <row r="40" ht="28" customHeight="1" spans="1:7">
      <c r="A40" s="32" t="s">
        <v>96</v>
      </c>
      <c r="B40" s="32"/>
      <c r="C40" s="32"/>
      <c r="D40" s="32"/>
      <c r="E40" s="32"/>
      <c r="F40" s="32"/>
      <c r="G40" s="32"/>
    </row>
    <row r="41" ht="36" customHeight="1" spans="1:7">
      <c r="A41" s="33" t="s">
        <v>97</v>
      </c>
      <c r="B41" s="33"/>
      <c r="C41" s="33"/>
      <c r="D41" s="33"/>
      <c r="E41" s="33"/>
      <c r="F41" s="33"/>
      <c r="G41" s="33"/>
    </row>
    <row r="42" ht="36" customHeight="1" spans="1:7">
      <c r="A42" s="34" t="s">
        <v>98</v>
      </c>
      <c r="B42" s="34"/>
      <c r="C42" s="34"/>
      <c r="D42" s="34"/>
      <c r="E42" s="34"/>
      <c r="F42" s="34"/>
      <c r="G42" s="34"/>
    </row>
    <row r="43" ht="36" customHeight="1" spans="1:7">
      <c r="A43" s="34" t="s">
        <v>99</v>
      </c>
      <c r="B43" s="34"/>
      <c r="C43" s="34"/>
      <c r="D43" s="34"/>
      <c r="E43" s="34"/>
      <c r="F43" s="34"/>
      <c r="G43" s="34"/>
    </row>
    <row r="44" ht="36" customHeight="1" spans="1:7">
      <c r="A44" s="34" t="s">
        <v>100</v>
      </c>
      <c r="B44" s="34"/>
      <c r="C44" s="34"/>
      <c r="D44" s="34"/>
      <c r="E44" s="34"/>
      <c r="F44" s="34"/>
      <c r="G44" s="34"/>
    </row>
    <row r="45" ht="36" customHeight="1" spans="1:7">
      <c r="A45" s="34" t="s">
        <v>101</v>
      </c>
      <c r="B45" s="34"/>
      <c r="C45" s="34"/>
      <c r="D45" s="34"/>
      <c r="E45" s="34"/>
      <c r="F45" s="34"/>
      <c r="G45" s="34"/>
    </row>
    <row r="46" ht="36" customHeight="1" spans="1:7">
      <c r="A46" s="34" t="s">
        <v>102</v>
      </c>
      <c r="B46" s="34"/>
      <c r="C46" s="34"/>
      <c r="D46" s="34"/>
      <c r="E46" s="34"/>
      <c r="F46" s="34"/>
      <c r="G46" s="34"/>
    </row>
    <row r="47" ht="36" customHeight="1" spans="1:7">
      <c r="A47" s="34" t="s">
        <v>103</v>
      </c>
      <c r="B47" s="34"/>
      <c r="C47" s="34"/>
      <c r="D47" s="34"/>
      <c r="E47" s="34"/>
      <c r="F47" s="34"/>
      <c r="G47" s="34"/>
    </row>
    <row r="48" ht="36" customHeight="1" spans="1:7">
      <c r="A48" s="34" t="s">
        <v>104</v>
      </c>
      <c r="B48" s="34"/>
      <c r="C48" s="34"/>
      <c r="D48" s="34"/>
      <c r="E48" s="34"/>
      <c r="F48" s="34"/>
      <c r="G48" s="34"/>
    </row>
    <row r="49" ht="36" customHeight="1" spans="1:7">
      <c r="A49" s="35" t="s">
        <v>105</v>
      </c>
      <c r="B49" s="35"/>
      <c r="C49" s="35"/>
      <c r="D49" s="35"/>
      <c r="E49" s="35"/>
      <c r="F49" s="35"/>
      <c r="G49" s="35"/>
    </row>
  </sheetData>
  <mergeCells count="21">
    <mergeCell ref="A1:G1"/>
    <mergeCell ref="A2:G2"/>
    <mergeCell ref="A3:B3"/>
    <mergeCell ref="C3:G3"/>
    <mergeCell ref="A4:B4"/>
    <mergeCell ref="C4:D4"/>
    <mergeCell ref="E4:F4"/>
    <mergeCell ref="A5:B5"/>
    <mergeCell ref="C5:D5"/>
    <mergeCell ref="E5:F5"/>
    <mergeCell ref="A38:F38"/>
    <mergeCell ref="A40:G40"/>
    <mergeCell ref="A41:G41"/>
    <mergeCell ref="A42:G42"/>
    <mergeCell ref="A43:G43"/>
    <mergeCell ref="A44:G44"/>
    <mergeCell ref="A45:G45"/>
    <mergeCell ref="A46:G46"/>
    <mergeCell ref="A47:G47"/>
    <mergeCell ref="A48:G48"/>
    <mergeCell ref="A49:G49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Agent伴游项目报价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悠想</cp:lastModifiedBy>
  <dcterms:created xsi:type="dcterms:W3CDTF">2026-08-31T16:00:03Z</dcterms:created>
  <dcterms:modified xsi:type="dcterms:W3CDTF">2026-08-31T16:00:56Z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A04C0C6703504BA2AA5642BB2C32705B_12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