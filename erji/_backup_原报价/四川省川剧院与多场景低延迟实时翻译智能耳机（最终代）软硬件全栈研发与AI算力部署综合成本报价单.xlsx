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W:\2026\20260808川剧院智能应用\6-生成知识\"/>
    </mc:Choice>
  </mc:AlternateContent>
  <bookViews>
    <workbookView windowWidth="27945" windowHeight="12375"/>
  </bookViews>
  <sheets>
    <sheet name="项目总览与综合报价" sheetId="1" r:id="rId1"/>
    <sheet name="硬件研发与开模明细" sheetId="2" r:id="rId2"/>
    <sheet name="软件与多端系统研发明细" sheetId="3" r:id="rId3"/>
    <sheet name="AI模型算法与算力服务器部署" sheetId="4" r:id="rId4"/>
    <sheet name="首批耳机试产费用(200套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<sst xmlns="http://schemas.openxmlformats.org/spreadsheetml/2006/main" count="271" uniqueCount="257">
  <si>
    <t>四川省川剧院与多场景低延迟实时翻译智能耳机 · 全栈软硬件与AI算力部署综合成本表</t>
  </si>
  <si>
    <t>【最终代一体化解决方案】涵盖 10+多语种实时同传硬件耳机研发、全栈软件多端App、开源AI模型算法定制及私有化GPU服务器集群</t>
  </si>
  <si>
    <t>项目基本信息与规格基准</t>
  </si>
  <si>
    <t>项目名称</t>
  </si>
  <si>
    <t>低延迟多语种实时翻译智能耳机（最终代）全栈研发与算力部署</t>
  </si>
  <si>
    <t>委托/应用单位</t>
  </si>
  <si>
    <t>四川省川剧院 / 商业集团大卖场 / 跨国文旅</t>
  </si>
  <si>
    <t>报价编制日期</t>
  </si>
  <si>
    <t>2026年08月28日</t>
  </si>
  <si>
    <t>方案版本与周期</t>
  </si>
  <si>
    <t>终代完整商用版 (V3.0 Final) / 约 3~3.5 个月</t>
  </si>
  <si>
    <t>核心硬件定义</t>
  </si>
  <si>
    <t>川剧文创双模智能翻译耳机 (带触控屏智能仓+骨传导ENC)</t>
  </si>
  <si>
    <t>核心AI与模型</t>
  </si>
  <si>
    <t>SenseVoice + Qwen2.5/NLLB-200 + CosyVoice2.0 + 4U GPU节点</t>
  </si>
  <si>
    <t>工程预算与成本模块总览 (包含软硬件、模具、AI算法与服务器)</t>
  </si>
  <si>
    <t>序号</t>
  </si>
  <si>
    <t>工程成本板块名称</t>
  </si>
  <si>
    <t>核心研制内容与交付目标概述</t>
  </si>
  <si>
    <t>参考工期</t>
  </si>
  <si>
    <t>含税报价 (RMB)</t>
  </si>
  <si>
    <t>预算占比</t>
  </si>
  <si>
    <t>关联明细工作表索引</t>
  </si>
  <si>
    <t>一、专属智能翻译耳机硬件研发与模具 (NRE)</t>
  </si>
  <si>
    <t>包含外观ID/结构MD设计、旗舰BT5.4电路EE、智能触控仓、固件开发及全套精密注塑模具</t>
  </si>
  <si>
    <t>65 工作日</t>
  </si>
  <si>
    <t>参阅 Sheet 2《硬件研发与开模明细》</t>
  </si>
  <si>
    <t>二、硬件工程打样、声学调音与权威认证 (SRRC)</t>
  </si>
  <si>
    <t>包含CNC手板、SMT样板、消音室B&amp;K声学降噪曲线调优、测试治具及国家SRRC/CE核准认证规费</t>
  </si>
  <si>
    <t>20 工作日</t>
  </si>
  <si>
    <t>三、全栈软件系统与多端应用研发 (App/Web/Cloud)</t>
  </si>
  <si>
    <t>包含iOS/Android跨平台App、川剧院沉浸同传、大卖场商超面对面翻译、WebRTC低延迟流媒体网关及后台</t>
  </si>
  <si>
    <t>50 工作日</t>
  </si>
  <si>
    <t>参阅 Sheet 3《软件与多端系统研发明细》</t>
  </si>
  <si>
    <t>四、AI 开源最佳模型算法定制与工程加速</t>
  </si>
  <si>
    <t>包含 SenseVoice ASR + Qwen2.5/NLLB-200 实时翻译 + CosyVoice2.0 零样本名角音色克隆与 TRT-LLM 加速</t>
  </si>
  <si>
    <t>30 工作日</t>
  </si>
  <si>
    <t>参阅 Sheet 4《AI模型算法与算力服务器部署》</t>
  </si>
  <si>
    <t>五、私有化 AI 算力 GPU 服务器物理硬件与集群部署</t>
  </si>
  <si>
    <t>包含 4U 企业级双路服务器整机、2 张专业级 NVIDIA GPU 推理加速卡 (48G~96G 显存) 及 Triton 调度集群</t>
  </si>
  <si>
    <t>15 工作日</t>
  </si>
  <si>
    <t>六、首批全功能智能翻译耳机工程试产 (200套)</t>
  </si>
  <si>
    <t>包含 200 套完整功能智能耳机+触控充电仓生产物料、试产组装全检、川剧脸谱彩绘及精装文创礼盒</t>
  </si>
  <si>
    <t>25 工作日</t>
  </si>
  <si>
    <t>参阅 Sheet 5《首批耳机试产费用(200套)》</t>
  </si>
  <si>
    <t>七、系统现场部署联调、培训与首年运维保修</t>
  </si>
  <si>
    <t>包含川剧院大剧场与大卖场实地弱电/网络/音频联调、操作培训、12个月全套软硬件免费保修与技术支持</t>
  </si>
  <si>
    <t>全周期</t>
  </si>
  <si>
    <t>包含技术团队现场驻场与1年运维服务</t>
  </si>
  <si>
    <t>项目工程综合投资总预算 (含税 RMB)</t>
  </si>
  <si>
    <t>包含全套软硬件产权、模具所有权、GPU服务器及200套现货样机</t>
  </si>
  <si>
    <t>交付物清单、知识产权与商务付款阶段</t>
  </si>
  <si>
    <t>1. 商业付款阶段</t>
  </si>
  <si>
    <t>首期款 35%（合同生效与方案确认后启动软硬件）；中期款 30%（模具 T0 试模与软件 Beta 联调完成）；试产验收款 25%（首批 200 套样机与 GPU 服务器交付现场测试合格）；质保金 10%（系统平稳运行满 1 年后付清）。</t>
  </si>
  <si>
    <t>2. 硬件交付成果</t>
  </si>
  <si>
    <t>包含全套 3D STEP 结构图、原理图/PCB Gerber 文件、固件源码与烧录工具、全套塑胶钢模所有权、国家 SRRC 核准证书、200 套全功能包装样机。</t>
  </si>
  <si>
    <t>3. 软件与AI交付物</t>
  </si>
  <si>
    <t>包含移动端 App (iOS/Android) 完整源码、WebRTC 媒体服务源码、Admin 后台源码、SenseVoice/Qwen2.5/CosyVoice 模型权重与微调代码、Docker 容器镜像。</t>
  </si>
  <si>
    <t>4. 服务器物理硬件</t>
  </si>
  <si>
    <t>交付包含 4U 双路高性能 GPU 服务器整机一台（含 2 张专业级 NVIDIA GPU 算力卡），现场完成系统部署与推理性能压力测试验收。</t>
  </si>
  <si>
    <t>5. 运维与技术保障</t>
  </si>
  <si>
    <t>提供自验收之日起 12 个月免费技术支持与软件缺陷修复，提供现场技术人员操作培训，终身提供系统架构扩容技术咨询。</t>
  </si>
  <si>
    <t>最终代低延迟多语种翻译智能耳机 · 硬件工程研发与精密开模费用明细</t>
  </si>
  <si>
    <t>包含旗舰级 BT5.4/LE Audio 主控、骨传导 VPU+双麦 ENC、智能触控充电仓设计、高淬火精密钢模与权威无线电认证</t>
  </si>
  <si>
    <t>工程编号</t>
  </si>
  <si>
    <t>研发/开模子项</t>
  </si>
  <si>
    <t>详细技术指标与工程实施要点</t>
  </si>
  <si>
    <t>数量/单位</t>
  </si>
  <si>
    <t>基准单价 (元)</t>
  </si>
  <si>
    <t>含税小计 (RMB)</t>
  </si>
  <si>
    <t>交付成果与验收标准</t>
  </si>
  <si>
    <t>HW-01</t>
  </si>
  <si>
    <t>1. 工业设计 ID (耳机+智能仓)</t>
  </si>
  <si>
    <t>川剧脸谱非遗元素与轻奢科技结合，人体工学开放式/半入耳结构，带触控屏智能仓外观建模与CMF材质定义</t>
  </si>
  <si>
    <t>3D渲染图、配色CMF文档、手感样机模型</t>
  </si>
  <si>
    <t>HW-02</t>
  </si>
  <si>
    <t>2. 结构工程 MD 设计</t>
  </si>
  <si>
    <t>超轻量钛合金记忆钢丝骨架、双麦风道降噪声学腔体、智能仓转轴与触控屏堆叠结构、IP54防水密封</t>
  </si>
  <si>
    <t>3D STEP 完整结构图纸、2D工程开模图</t>
  </si>
  <si>
    <t>HW-03</t>
  </si>
  <si>
    <t>3. 硬件电路 EE (旗舰BT5.4方案)</t>
  </si>
  <si>
    <t>BES2700 / QCC5181 旗舰双模主控（支持LE Audio/LC3超低延迟 &lt;20ms）、双反馈高信噪比硅麦+骨传导VPU电路、PMIC</t>
  </si>
  <si>
    <t>原理图、8层高精PCB Gerber、BOM物料表</t>
  </si>
  <si>
    <t>HW-04</t>
  </si>
  <si>
    <t>4. 智能充电仓 EE 电路设计</t>
  </si>
  <si>
    <t>智能仓独立 MCU 主控电路、1.44寸触控 OLED 显示屏驱动电路、霍尔开关检测、无线充电 Qi 接收芯片</t>
  </si>
  <si>
    <t>智能仓主板原理图与PCB Gerber文件</t>
  </si>
  <si>
    <t>HW-05</t>
  </si>
  <si>
    <t>5. 嵌入式固件 Firmware 开发</t>
  </si>
  <si>
    <t>LC3/Opus 低延迟流式传输固件、Auracast 剧院广播接收协议、触控屏双向交互协议、低功耗省电算法、OTA升级</t>
  </si>
  <si>
    <t>固件全套源码、量产HEX镜像、OTA升级包</t>
  </si>
  <si>
    <t>HW-06</t>
  </si>
  <si>
    <t>6. 耳机外壳精密塑胶模具</t>
  </si>
  <si>
    <t>左右耳机壳精密注塑模具（长寿命高耐磨 S136 淬火钢，保证 10 万模次无毛边高精度公差 ±0.02mm）</t>
  </si>
  <si>
    <t>左右耳机注塑钢模 1 套</t>
  </si>
  <si>
    <t>HW-07</t>
  </si>
  <si>
    <t>7. 智能仓及机构件精密模具</t>
  </si>
  <si>
    <t>充电仓上下盖、转轴精密五金件注塑模、触控屏视窗高透模具、硅胶亲肤耳翼模具</t>
  </si>
  <si>
    <t>充电仓及五金配件注塑模 1 套</t>
  </si>
  <si>
    <t>HW-08</t>
  </si>
  <si>
    <t>8. 模具试模修模与表面工艺</t>
  </si>
  <si>
    <t>T0/T1/T2 试模注塑检讨、模具高光晒纹/咬花处理、耐磨抗指纹 UV 喷涂工艺调优</t>
  </si>
  <si>
    <t>试模调优报告、合格外壳样件</t>
  </si>
  <si>
    <t>小计一：硬件研发与精密模具开发费用 (NRE)</t>
  </si>
  <si>
    <t>-</t>
  </si>
  <si>
    <t>包含ID/MD/EE/固件设计与全套注塑模具</t>
  </si>
  <si>
    <t>二、工程手板打样、声学校准与权威认证</t>
  </si>
  <si>
    <t>HW-09</t>
  </si>
  <si>
    <t>9. 3D/CNC 结构手板打样</t>
  </si>
  <si>
    <t>高精度五轴 CNC 铝合金/钛合金与 SLA 光敏树脂结构手板打样（10套），用于气密性与人体工学测试</t>
  </si>
  <si>
    <t>合格结构外观工程手板 10 套</t>
  </si>
  <si>
    <t>HW-10</t>
  </si>
  <si>
    <t>10. SMT 电路样板打样与调纤</t>
  </si>
  <si>
    <t>高精多层 PCB 样板打样、BOM器件采购、SMT贴片（20板），射频天线矢量网络分析与阻抗匹配</t>
  </si>
  <si>
    <t>功能测试电路样板 20 板</t>
  </si>
  <si>
    <t>HW-11</t>
  </si>
  <si>
    <t>11. 消音室声学调音与治具</t>
  </si>
  <si>
    <t>专业消音室 B&amp;K 人头人工耳频响曲线调优、ENC 双麦降噪算法调校、量产声学与RF测试治具制作</t>
  </si>
  <si>
    <t>声学调音曲线报告、测试治具 1 套</t>
  </si>
  <si>
    <t>HW-12</t>
  </si>
  <si>
    <t>12. 权威认证规费 (SRRC/CE/IP54)</t>
  </si>
  <si>
    <t>国家无线电管理局 SRRC 型号核准认证、欧盟 CE-RED 认证、FCC-ID 备案、IP54 级防尘防水检测报告</t>
  </si>
  <si>
    <t>国家 SRRC 证书、CE/FCC/IP54 检验报告</t>
  </si>
  <si>
    <t>小计二：打样调试、声学治具与权威认证费用</t>
  </si>
  <si>
    <t>包含CNC手板、SMT样板、声学校准与SRRC/CE认证</t>
  </si>
  <si>
    <t>硬件工程研发、模具与认证总计 (含税 RMB)</t>
  </si>
  <si>
    <t>研发开模 + 声学工程 + 权威资质核准</t>
  </si>
  <si>
    <t>跨场景低延迟多语种实时翻译系统 · 软件与多端 App 研发明细表</t>
  </si>
  <si>
    <t>涵盖移动端多场景同传 App (iOS/Android)、川剧院观戏小程序/Web同传、大卖场商超面对面对讲、WebRTC低延迟音频流网关及微服务中台</t>
  </si>
  <si>
    <t>模块编号</t>
  </si>
  <si>
    <t>软件系统/功能模块</t>
  </si>
  <si>
    <t>详细功能特性与核心技术实现指标</t>
  </si>
  <si>
    <t>预估工时 (人天)</t>
  </si>
  <si>
    <t>基准单价 (元/人天)</t>
  </si>
  <si>
    <t>技术交付物与交付标准</t>
  </si>
  <si>
    <t>SW-01</t>
  </si>
  <si>
    <t>1. 跨平台多语种翻译 App (iOS/Android)</t>
  </si>
  <si>
    <t>Flutter/React Native 架构，支持蓝牙 BLE/Classic 双通道连接、低延迟音频流收发、波形动态可视化</t>
  </si>
  <si>
    <t>iOS &amp; Android 客户端安装包与全套源码</t>
  </si>
  <si>
    <t>SW-02</t>
  </si>
  <si>
    <t>2. 【场景一】川剧院沉浸导览与戏曲同传</t>
  </si>
  <si>
    <t>《皮金滚灯》等川剧经典戏段实时双语/多语字幕滚动、名角音色原声+同传解说混合推流、文博展品蓝牙自动感应导览</t>
  </si>
  <si>
    <t>川剧院定制剧场导览与字幕同步模块</t>
  </si>
  <si>
    <t>SW-03</t>
  </si>
  <si>
    <t>3. 【场景二】大卖场/商超面对面双向对讲</t>
  </si>
  <si>
    <t>一人一耳双向即时对讲模式，自动分离双方声轨，低延迟互译并自动抑制嘈杂卖场环境底噪，支持常用商品术语快捷翻译</t>
  </si>
  <si>
    <t>商超零售双向对讲模式专用组件</t>
  </si>
  <si>
    <t>SW-04</t>
  </si>
  <si>
    <t>4. 【场景三】多语种国际会议与群聊同传</t>
  </si>
  <si>
    <t>多人多语种跨国群聊房间，语音实时转写多国文字并同传分发，支持会议纪要中英双语即时导出与录音归档</t>
  </si>
  <si>
    <t>多方群聊同传与会议纪要导出系统</t>
  </si>
  <si>
    <t>SW-05</t>
  </si>
  <si>
    <t>5. 东南亚小语种与主流语言库引擎 (16+语种)</t>
  </si>
  <si>
    <t>支持中、英、日、韩、法、西、俄、阿，以及东南亚小语种（泰、越、印尼、马来、缅甸、高棉/柬埔寨、菲律宾语等）精准互译</t>
  </si>
  <si>
    <t>多语种国际化字典与实时分流适配引擎</t>
  </si>
  <si>
    <t>SW-06</t>
  </si>
  <si>
    <t>6. WebRTC 超低延迟音频流媒体网关</t>
  </si>
  <si>
    <t>Go/C++ 实现高并发 WebRTC/Opus 音频网关，毫秒级音频流分片传输（端到端链路延迟优化至 &lt;100ms）</t>
  </si>
  <si>
    <t>WebRTC 媒体流转发网关服务端源码</t>
  </si>
  <si>
    <t>SW-07</t>
  </si>
  <si>
    <t>7. 端侧离线轻量翻译包与断网容灾</t>
  </si>
  <si>
    <t>内置端侧轻量 NPU 离线翻译模型（支持中/英/日/韩/泰/越无网络环境下基础对话实时互译，网络中断无缝切换）</t>
  </si>
  <si>
    <t>端侧离线翻译引擎包及 SDK</t>
  </si>
  <si>
    <t>SW-08</t>
  </si>
  <si>
    <t>8. 文创非遗数字资产与 AI 旅拍</t>
  </si>
  <si>
    <t>川剧 AI 华服试穿、名角同框合影 (Gemini 多模态集成)、非遗脸谱纹样数字资产库与 IP 数字藏品铸造中心</t>
  </si>
  <si>
    <t>数字资产库、AI 旅拍 API 代理服务</t>
  </si>
  <si>
    <t>SW-09</t>
  </si>
  <si>
    <t>9. 云端高并发业务微服务架构 (FastAPI/Go)</t>
  </si>
  <si>
    <t>微服务架构、JWT 多租户鉴权、设备唯一 MAC 绑定、动态流控与负载均衡、高并发 SQL/Redis 缓存设计</t>
  </si>
  <si>
    <t>后端核心业务微服务全套工程源码</t>
  </si>
  <si>
    <t>SW-10</t>
  </si>
  <si>
    <t>10. 综合管理后台系统 (Admin Web UI)</t>
  </si>
  <si>
    <t>剧场剧目排期管理、商超设备租借与资产巡检管理、AI 翻译流量统计看板、多语种术语词库管理后台</t>
  </si>
  <si>
    <t>Vue3 / Tailwind 管理后台前端与接口</t>
  </si>
  <si>
    <t>SW-11</t>
  </si>
  <si>
    <t>11. 生产环境容器化部署与 DevOps</t>
  </si>
  <si>
    <t>Docker / Kubernetes 自动化容器编排脚本、Nginx 高可用负载均衡、SSL/TLS 证书加固、Prometheus 监控告警</t>
  </si>
  <si>
    <t>K8s 编排部署文件、CI/CD 自动化流水线</t>
  </si>
  <si>
    <t>全栈软件与多端 App 研发费用小计 (含税 RMB)</t>
  </si>
  <si>
    <t>全套移动端 App、WebRTC 媒体服务及后台源码交付</t>
  </si>
  <si>
    <t>AI 实时翻译推理大模型定制与私有化 GPU 算力集群配置明细表</t>
  </si>
  <si>
    <t>采用业界顶尖开源多语种模型（SenseVoice/Whisper + Qwen2.5/NLLB-200 + CosyVoice2.0）及高性能 GPU 物理服务器搭建低延迟私有化集群</t>
  </si>
  <si>
    <t>编号</t>
  </si>
  <si>
    <t>AI 算法/算力硬件项目</t>
  </si>
  <si>
    <t>技术规格、选型依据与性能指标</t>
  </si>
  <si>
    <t>数量/配置</t>
  </si>
  <si>
    <t>单价 (元)</t>
  </si>
  <si>
    <t>交付形式与性能保证</t>
  </si>
  <si>
    <t>AI-01</t>
  </si>
  <si>
    <t>1. 流式多语种 ASR 语音识别模型</t>
  </si>
  <si>
    <t>SenseVoice-Small (阿里开源, 延迟&lt;100ms) + Faster-Whisper-large-v3-turbo (支持全球100+语言及东南亚小语种) 混合调度</t>
  </si>
  <si>
    <t>流式 ASR 微服务、Docker 镜像、延迟&lt;120ms</t>
  </si>
  <si>
    <t>AI-02</t>
  </si>
  <si>
    <t>2. 低延迟大模型同传翻译 (MT/LLM)</t>
  </si>
  <si>
    <t>Qwen2.5-7B/14B-Instruct-AWQ (中文/通用语言精译) + NLLB-200 (Meta 200语言专注东南亚小语种) 流式切词微调</t>
  </si>
  <si>
    <t>TensorRT-LLM / vLLM 加速部署，首字延迟&lt;150ms</t>
  </si>
  <si>
    <t>AI-03</t>
  </si>
  <si>
    <t>3. 零样本多语种流式 TTS 与名角音色克隆</t>
  </si>
  <si>
    <t>CosyVoice 2.0 / F5-TTS 零样本音色克隆，3秒音频克隆川剧名角/特定客服专属音色，支持流式分块输出（Chunk Streaming）</t>
  </si>
  <si>
    <t>多语种流式 TTS 引擎，端到端合成延迟&lt;120ms</t>
  </si>
  <si>
    <t>AI-04</t>
  </si>
  <si>
    <t>4. 行业术语库与川剧戏曲文化微调</t>
  </si>
  <si>
    <t>针对川剧戏曲专业名词、文创典故、大卖场零售商品专有名词进行 LoRA 领域指令微调与敏感词合规过滤</t>
  </si>
  <si>
    <t>专用领域微调权重包及术语词表</t>
  </si>
  <si>
    <t>小计一：AI 模型算法定制、微调与工程加速费用</t>
  </si>
  <si>
    <t>包含 ASR/MT/TTS 开源模型调优与 vLLM/TRT-LLM 加速</t>
  </si>
  <si>
    <t>二、私有化 AI 算力 GPU 服务器物理硬件与集群部署 (私有云方案)</t>
  </si>
  <si>
    <t>SRV-01</t>
  </si>
  <si>
    <t>5. 4U 专业 AI 推理 GPU 服务器主机</t>
  </si>
  <si>
    <t>双路 AMD EPYC 9354 (64核128线程) / 512GB DDR5 ECC 内存 / 2x 3.84TB 企业级 NVMe SSD (RAID1) / 2000W 冗余白金电源 / 4U 机架式</t>
  </si>
  <si>
    <t>企业级高可靠 4U 机架式服务器整机</t>
  </si>
  <si>
    <t>SRV-02</t>
  </si>
  <si>
    <t>6. 专业级 AI 加速卡 GPU (NVIDIA L40S 48G / RTX 4090D 24G x 2)</t>
  </si>
  <si>
    <t>配置 2 张专业大模型推理显卡（总显存 48GB~96GB），支持 FP8/INT4 量化加速，单机可并发承载 80~120 路实时流式同传通道</t>
  </si>
  <si>
    <t>原厂正品 GPU 算力卡（含 3 年保修）</t>
  </si>
  <si>
    <t>SRV-03</t>
  </si>
  <si>
    <t>7. 算力集群调度与 Triton 推理引擎部署</t>
  </si>
  <si>
    <t>基于 Triton Inference Server + vLLM 搭建动态批处理 (Dynamic Batching) 推理集群、K8s 容器调度与 Prometheus 监控体系</t>
  </si>
  <si>
    <t>完整算力调度系统、压力测试报告与运维手册</t>
  </si>
  <si>
    <t>小计二：私有化 GPU 服务器硬件购置与集群部署费用</t>
  </si>
  <si>
    <t>包含物理 GPU 服务器整机、双卡算力及私有化调度集群</t>
  </si>
  <si>
    <t>AI 模型定制与私有化算力服务器总计 (含税 RMB)</t>
  </si>
  <si>
    <t>AI 核心算法资产 + 独立物理 GPU 算力服务器</t>
  </si>
  <si>
    <t>最终代低延迟多语种翻译耳机 · 首批工程试产与文创礼盒包装 (200套)</t>
  </si>
  <si>
    <t>用于川剧院首期商用部署、大卖场导购示范网点试点与市场品鉴推广</t>
  </si>
  <si>
    <t>物料编号</t>
  </si>
  <si>
    <t>试产材料与工序构成</t>
  </si>
  <si>
    <t>规格标准与加工工艺要求</t>
  </si>
  <si>
    <t>数量</t>
  </si>
  <si>
    <t>交付形态</t>
  </si>
  <si>
    <t>MAT-01</t>
  </si>
  <si>
    <t>1. 旗舰蓝牙双模主板 PCBA</t>
  </si>
  <si>
    <t>BES2700/QCC5181 方案，高精 8 层沉金 PCB，含 VPU 骨震动传感器与双麦阵列贴片</t>
  </si>
  <si>
    <t>测试合格 PCBA 主板 200 套</t>
  </si>
  <si>
    <t>MAT-02</t>
  </si>
  <si>
    <t>2. 智能充电仓主板及触控 OLED 模组</t>
  </si>
  <si>
    <t>含独立 MCU、1.44寸全彩触控 OLED 模组、Type-C 充放电主板与磁吸霍尔排线</t>
  </si>
  <si>
    <t>智能仓核心显示与控制总成 200 套</t>
  </si>
  <si>
    <t>MAT-03</t>
  </si>
  <si>
    <t>3. 聚合物高密度安全电池 (耳机+仓)</t>
  </si>
  <si>
    <t>耳机 45mAh 钢壳纽扣/针状锂电池 (双只) + 智能仓 600mAh 聚合物安全防爆电池</t>
  </si>
  <si>
    <t>A品高循环电芯 200 套</t>
  </si>
  <si>
    <t>MAT-04</t>
  </si>
  <si>
    <t>4. 精密注塑外壳与川剧脸谱喷涂</t>
  </si>
  <si>
    <t>T1 试模高精塑胶壳体、川剧变脸精美彩绘移印、耐刮擦 UV 保护漆表面处理</t>
  </si>
  <si>
    <t>全套精美文创外观结构件 200 套</t>
  </si>
  <si>
    <t>MAT-05</t>
  </si>
  <si>
    <t>5. 试产车间装配、气密/声学全检</t>
  </si>
  <si>
    <t>无尘车间装配组装、超声波焊接、自动化声学测试全检、射频校准与高温老化测试</t>
  </si>
  <si>
    <t>组装测试合格成品 200 套</t>
  </si>
  <si>
    <t>MAT-06</t>
  </si>
  <si>
    <t>6. 川剧非遗定制精美礼盒与配件</t>
  </si>
  <si>
    <t>高档天地盖烫金礼盒、定制收纳袋、多规格亲肤硅胶耳塞套、编制充电线、精装说明书</t>
  </si>
  <si>
    <t>精美成品礼盒包装 200 套</t>
  </si>
  <si>
    <t>首批 200 套全功能智能翻译耳机试产总计 (含税 RMB)</t>
  </si>
  <si>
    <t>包含 200 套完整功能耳机与定制文创礼盒成品交付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</si>
</sst>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"/>
    <numFmt numFmtId="177" formatCode="0.0%"/>
  </numFmts>
  <fonts count="30">
    <font>
      <sz val="11"/>
      <color theme="1"/>
      <name val="宋体"/>
      <charset val="134"/>
      <scheme val="minor"/>
    </font>
    <font>
      <b/>
      <sz val="15"/>
      <color rgb="FFFFFFFF"/>
      <name val="微软雅黑"/>
      <charset val="134"/>
    </font>
    <font>
      <i/>
      <sz val="10"/>
      <color rgb="FFEAD9CD"/>
      <name val="微软雅黑"/>
      <charset val="134"/>
    </font>
    <font>
      <b/>
      <sz val="10"/>
      <color rgb="FFFFFFFF"/>
      <name val="微软雅黑"/>
      <charset val="134"/>
    </font>
    <font>
      <b/>
      <sz val="9.5"/>
      <color rgb="FF221B16"/>
      <name val="微软雅黑"/>
      <charset val="134"/>
    </font>
    <font>
      <b/>
      <sz val="10"/>
      <color rgb="FF8A1C14"/>
      <name val="微软雅黑"/>
      <charset val="134"/>
    </font>
    <font>
      <sz val="8.5"/>
      <color rgb="FF555555"/>
      <name val="微软雅黑"/>
      <charset val="134"/>
    </font>
    <font>
      <b/>
      <sz val="11.5"/>
      <color rgb="FF8A1C14"/>
      <name val="微软雅黑"/>
      <charset val="134"/>
    </font>
    <font>
      <b/>
      <sz val="11"/>
      <color rgb="FFFFFFFF"/>
      <name val="微软雅黑"/>
      <charset val="134"/>
    </font>
    <font>
      <sz val="9.5"/>
      <color rgb="FF1A1A1A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8A1C14"/>
        <bgColor rgb="FF8A1C14"/>
      </patternFill>
    </fill>
    <fill>
      <patternFill patternType="solid">
        <fgColor rgb="FF4A120E"/>
        <bgColor rgb="FF4A120E"/>
      </patternFill>
    </fill>
    <fill>
      <patternFill patternType="solid">
        <fgColor rgb="FFF5EFE6"/>
        <bgColor rgb="FFF5EFE6"/>
      </patternFill>
    </fill>
    <fill>
      <patternFill patternType="solid">
        <fgColor rgb="FFFDFCF9"/>
        <bgColor rgb="FFFDFCF9"/>
      </patternFill>
    </fill>
    <fill>
      <patternFill patternType="solid">
        <fgColor rgb="FFDFC298"/>
        <bgColor rgb="FFDFC298"/>
      </patternFill>
    </fill>
    <fill>
      <patternFill patternType="solid">
        <fgColor rgb="FFEBDBC7"/>
        <bgColor rgb="FFEBDBC7"/>
      </patternFill>
    </fill>
    <fill>
      <patternFill patternType="solid">
        <fgColor rgb="FF6B1710"/>
        <bgColor rgb="FF6B171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8A1C1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double">
        <color rgb="FF8A1C1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11" borderId="8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12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1" xfId="0" applyFont="1" applyFill="1" applyBorder="1"/>
    <xf numFmtId="0" fontId="0" fillId="4" borderId="2" xfId="0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3" fontId="0" fillId="4" borderId="2" xfId="0" applyNumberFormat="1" applyFill="1" applyBorder="1" applyAlignment="1">
      <alignment horizontal="center" vertical="center" wrapText="1"/>
    </xf>
    <xf numFmtId="176" fontId="0" fillId="4" borderId="2" xfId="0" applyNumberFormat="1" applyFill="1" applyBorder="1" applyAlignment="1">
      <alignment horizontal="right" vertical="center"/>
    </xf>
    <xf numFmtId="176" fontId="5" fillId="4" borderId="2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3" fontId="0" fillId="5" borderId="2" xfId="0" applyNumberFormat="1" applyFill="1" applyBorder="1" applyAlignment="1">
      <alignment horizontal="center" vertical="center" wrapText="1"/>
    </xf>
    <xf numFmtId="176" fontId="0" fillId="5" borderId="2" xfId="0" applyNumberFormat="1" applyFill="1" applyBorder="1" applyAlignment="1">
      <alignment horizontal="right" vertical="center"/>
    </xf>
    <xf numFmtId="176" fontId="5" fillId="5" borderId="2" xfId="0" applyNumberFormat="1" applyFont="1" applyFill="1" applyBorder="1" applyAlignment="1">
      <alignment horizontal="right" vertical="center"/>
    </xf>
    <xf numFmtId="0" fontId="6" fillId="5" borderId="2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0" fillId="6" borderId="3" xfId="0" applyFill="1" applyBorder="1"/>
    <xf numFmtId="176" fontId="4" fillId="6" borderId="3" xfId="0" applyNumberFormat="1" applyFont="1" applyFill="1" applyBorder="1" applyAlignment="1">
      <alignment horizontal="right" vertical="center"/>
    </xf>
    <xf numFmtId="176" fontId="7" fillId="6" borderId="3" xfId="0" applyNumberFormat="1" applyFont="1" applyFill="1" applyBorder="1" applyAlignment="1">
      <alignment horizontal="right" vertical="center"/>
    </xf>
    <xf numFmtId="0" fontId="6" fillId="6" borderId="3" xfId="0" applyFont="1" applyFill="1" applyBorder="1"/>
    <xf numFmtId="0" fontId="4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0" fillId="7" borderId="1" xfId="0" applyFill="1" applyBorder="1" applyAlignment="1">
      <alignment horizontal="center" vertical="center" wrapText="1"/>
    </xf>
    <xf numFmtId="176" fontId="5" fillId="7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/>
    <xf numFmtId="0" fontId="8" fillId="8" borderId="0" xfId="0" applyFont="1" applyFill="1"/>
    <xf numFmtId="3" fontId="4" fillId="6" borderId="3" xfId="0" applyNumberFormat="1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0" fillId="0" borderId="2" xfId="0" applyBorder="1"/>
    <xf numFmtId="177" fontId="4" fillId="4" borderId="2" xfId="0" applyNumberFormat="1" applyFont="1" applyFill="1" applyBorder="1" applyAlignment="1">
      <alignment horizontal="right" vertical="center"/>
    </xf>
    <xf numFmtId="177" fontId="4" fillId="5" borderId="2" xfId="0" applyNumberFormat="1" applyFont="1" applyFill="1" applyBorder="1" applyAlignment="1">
      <alignment horizontal="right" vertical="center"/>
    </xf>
    <xf numFmtId="177" fontId="4" fillId="6" borderId="3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workbookViewId="0">
      <selection activeCell="E13" sqref="E13"/>
    </sheetView>
  </sheetViews>
  <sheetFormatPr defaultColWidth="9" defaultRowHeight="13.5" outlineLevelCol="6"/>
  <cols>
    <col min="1" max="1" width="14" customWidth="1"/>
    <col min="2" max="2" width="28" customWidth="1"/>
    <col min="3" max="3" width="46" customWidth="1"/>
    <col min="4" max="4" width="14" customWidth="1"/>
    <col min="5" max="5" width="18" customWidth="1"/>
    <col min="6" max="6" width="14" customWidth="1"/>
    <col min="7" max="7" width="30" customWidth="1"/>
  </cols>
  <sheetData>
    <row r="1" ht="38" customHeight="1" spans="1:7">
      <c r="A1" s="1" t="s">
        <v>0</v>
      </c>
    </row>
    <row r="2" ht="24" customHeight="1" spans="1:7">
      <c r="A2" s="2" t="s">
        <v>1</v>
      </c>
    </row>
    <row r="4" ht="24" customHeight="1" spans="1:7">
      <c r="A4" s="28" t="s">
        <v>2</v>
      </c>
    </row>
    <row r="5" ht="22" customHeight="1" spans="1:7">
      <c r="A5" s="31" t="s">
        <v>3</v>
      </c>
      <c r="B5" s="32" t="s">
        <v>4</v>
      </c>
      <c r="C5" s="33"/>
      <c r="D5" s="33"/>
      <c r="E5" s="31" t="s">
        <v>5</v>
      </c>
      <c r="F5" s="32" t="s">
        <v>6</v>
      </c>
      <c r="G5" s="33"/>
    </row>
    <row r="6" ht="22" customHeight="1" spans="1:7">
      <c r="A6" s="31" t="s">
        <v>7</v>
      </c>
      <c r="B6" s="32" t="s">
        <v>8</v>
      </c>
      <c r="C6" s="33"/>
      <c r="D6" s="33"/>
      <c r="E6" s="31" t="s">
        <v>9</v>
      </c>
      <c r="F6" s="32" t="s">
        <v>10</v>
      </c>
      <c r="G6" s="33"/>
    </row>
    <row r="7" ht="22" customHeight="1" spans="1:7">
      <c r="A7" s="31" t="s">
        <v>11</v>
      </c>
      <c r="B7" s="32" t="s">
        <v>12</v>
      </c>
      <c r="C7" s="33"/>
      <c r="D7" s="33"/>
      <c r="E7" s="31" t="s">
        <v>13</v>
      </c>
      <c r="F7" s="32" t="s">
        <v>14</v>
      </c>
      <c r="G7" s="33"/>
    </row>
    <row r="8" ht="25" customHeight="1" spans="1:7">
      <c r="A8" s="28" t="s">
        <v>15</v>
      </c>
    </row>
    <row r="9" ht="26" customHeight="1" spans="1:7">
      <c r="A9" s="3" t="s">
        <v>16</v>
      </c>
      <c r="B9" s="3" t="s">
        <v>17</v>
      </c>
      <c r="C9" s="3" t="s">
        <v>18</v>
      </c>
      <c r="D9" s="3" t="s">
        <v>19</v>
      </c>
      <c r="E9" s="3" t="s">
        <v>20</v>
      </c>
      <c r="F9" s="3" t="s">
        <v>21</v>
      </c>
      <c r="G9" s="3" t="s">
        <v>22</v>
      </c>
    </row>
    <row r="10" ht="25" customHeight="1" spans="1:7">
      <c r="A10" s="4">
        <v>1</v>
      </c>
      <c r="B10" s="5" t="s">
        <v>23</v>
      </c>
      <c r="C10" s="6" t="s">
        <v>24</v>
      </c>
      <c r="D10" s="4" t="s">
        <v>25</v>
      </c>
      <c r="E10" s="9">
        <f>硬件研发与开模明细!F12</f>
        <v>317000</v>
      </c>
      <c r="F10" s="34">
        <f>E10/E17</f>
        <v>0.286230248306998</v>
      </c>
      <c r="G10" s="10" t="s">
        <v>26</v>
      </c>
    </row>
    <row r="11" ht="25" customHeight="1" spans="1:7">
      <c r="A11" s="11">
        <v>2</v>
      </c>
      <c r="B11" s="12" t="s">
        <v>27</v>
      </c>
      <c r="C11" s="13" t="s">
        <v>28</v>
      </c>
      <c r="D11" s="11" t="s">
        <v>29</v>
      </c>
      <c r="E11" s="16">
        <f>硬件研发与开模明细!F18</f>
        <v>106000</v>
      </c>
      <c r="F11" s="35">
        <f>E11/E17</f>
        <v>0.0957110609480813</v>
      </c>
      <c r="G11" s="17" t="s">
        <v>26</v>
      </c>
    </row>
    <row r="12" ht="25" customHeight="1" spans="1:7">
      <c r="A12" s="4">
        <v>3</v>
      </c>
      <c r="B12" s="5" t="s">
        <v>30</v>
      </c>
      <c r="C12" s="6" t="s">
        <v>31</v>
      </c>
      <c r="D12" s="4" t="s">
        <v>32</v>
      </c>
      <c r="E12" s="9">
        <f>软件与多端系统研发明细!F15</f>
        <v>317500</v>
      </c>
      <c r="F12" s="34">
        <f>E12/E17</f>
        <v>0.286681715575621</v>
      </c>
      <c r="G12" s="10" t="s">
        <v>33</v>
      </c>
    </row>
    <row r="13" ht="25" customHeight="1" spans="1:7">
      <c r="A13" s="11">
        <v>4</v>
      </c>
      <c r="B13" s="12" t="s">
        <v>34</v>
      </c>
      <c r="C13" s="13" t="s">
        <v>35</v>
      </c>
      <c r="D13" s="11" t="s">
        <v>36</v>
      </c>
      <c r="E13" s="16">
        <f>AI模型算法与算力服务器部署!F8</f>
        <v>117000</v>
      </c>
      <c r="F13" s="35">
        <f>E13/E17</f>
        <v>0.105643340857788</v>
      </c>
      <c r="G13" s="17" t="s">
        <v>37</v>
      </c>
    </row>
    <row r="14" ht="25" customHeight="1" spans="1:7">
      <c r="A14" s="4">
        <v>5</v>
      </c>
      <c r="B14" s="5" t="s">
        <v>38</v>
      </c>
      <c r="C14" s="6" t="s">
        <v>39</v>
      </c>
      <c r="D14" s="4" t="s">
        <v>40</v>
      </c>
      <c r="E14" s="9">
        <f>AI模型算法与算力服务器部署!F13</f>
        <v>129000</v>
      </c>
      <c r="F14" s="34">
        <f>E14/E17</f>
        <v>0.11647855530474</v>
      </c>
      <c r="G14" s="10" t="s">
        <v>37</v>
      </c>
    </row>
    <row r="15" ht="25" customHeight="1" spans="1:7">
      <c r="A15" s="11">
        <v>6</v>
      </c>
      <c r="B15" s="12" t="s">
        <v>41</v>
      </c>
      <c r="C15" s="13" t="s">
        <v>42</v>
      </c>
      <c r="D15" s="11" t="s">
        <v>43</v>
      </c>
      <c r="E15" s="16">
        <f>'首批耳机试产费用(200套)'!F10</f>
        <v>76000</v>
      </c>
      <c r="F15" s="35">
        <f>E15/E17</f>
        <v>0.0686230248306998</v>
      </c>
      <c r="G15" s="17" t="s">
        <v>44</v>
      </c>
    </row>
    <row r="16" ht="25" customHeight="1" spans="1:7">
      <c r="A16" s="4">
        <v>7</v>
      </c>
      <c r="B16" s="5" t="s">
        <v>45</v>
      </c>
      <c r="C16" s="6" t="s">
        <v>46</v>
      </c>
      <c r="D16" s="4" t="s">
        <v>47</v>
      </c>
      <c r="E16" s="9">
        <v>45000</v>
      </c>
      <c r="F16" s="34">
        <f>E16/E17</f>
        <v>0.0406320541760722</v>
      </c>
      <c r="G16" s="10" t="s">
        <v>48</v>
      </c>
    </row>
    <row r="17" ht="30" customHeight="1" spans="1:7">
      <c r="A17" s="18" t="s">
        <v>49</v>
      </c>
      <c r="B17" s="19"/>
      <c r="C17" s="19"/>
      <c r="D17" s="19"/>
      <c r="E17" s="21">
        <f>SUM(E10:E16)</f>
        <v>1107500</v>
      </c>
      <c r="F17" s="36">
        <f>SUM(F10:F16)</f>
        <v>1</v>
      </c>
      <c r="G17" s="22" t="s">
        <v>50</v>
      </c>
    </row>
    <row r="18" ht="14.25"/>
    <row r="19" ht="24" customHeight="1" spans="1:7">
      <c r="A19" s="28" t="s">
        <v>51</v>
      </c>
    </row>
    <row r="20" ht="26" customHeight="1" spans="1:7">
      <c r="A20" s="31" t="s">
        <v>52</v>
      </c>
      <c r="B20" s="32" t="s">
        <v>53</v>
      </c>
      <c r="C20" s="33"/>
      <c r="D20" s="33"/>
      <c r="E20" s="33"/>
      <c r="F20" s="33"/>
      <c r="G20" s="33"/>
    </row>
    <row r="21" ht="26" customHeight="1" spans="1:7">
      <c r="A21" s="31" t="s">
        <v>54</v>
      </c>
      <c r="B21" s="32" t="s">
        <v>55</v>
      </c>
      <c r="C21" s="33"/>
      <c r="D21" s="33"/>
      <c r="E21" s="33"/>
      <c r="F21" s="33"/>
      <c r="G21" s="33"/>
    </row>
    <row r="22" ht="26" customHeight="1" spans="1:7">
      <c r="A22" s="31" t="s">
        <v>56</v>
      </c>
      <c r="B22" s="32" t="s">
        <v>57</v>
      </c>
      <c r="C22" s="33"/>
      <c r="D22" s="33"/>
      <c r="E22" s="33"/>
      <c r="F22" s="33"/>
      <c r="G22" s="33"/>
    </row>
    <row r="23" ht="26" customHeight="1" spans="1:7">
      <c r="A23" s="31" t="s">
        <v>58</v>
      </c>
      <c r="B23" s="32" t="s">
        <v>59</v>
      </c>
      <c r="C23" s="33"/>
      <c r="D23" s="33"/>
      <c r="E23" s="33"/>
      <c r="F23" s="33"/>
      <c r="G23" s="33"/>
    </row>
    <row r="24" ht="26" customHeight="1" spans="1:7">
      <c r="A24" s="31" t="s">
        <v>60</v>
      </c>
      <c r="B24" s="32" t="s">
        <v>61</v>
      </c>
      <c r="C24" s="33"/>
      <c r="D24" s="33"/>
      <c r="E24" s="33"/>
      <c r="F24" s="33"/>
      <c r="G24" s="33"/>
    </row>
  </sheetData>
  <mergeCells count="17">
    <mergeCell ref="A1:G1"/>
    <mergeCell ref="A2:G2"/>
    <mergeCell ref="A4:G4"/>
    <mergeCell ref="B5:D5"/>
    <mergeCell ref="F5:G5"/>
    <mergeCell ref="B6:D6"/>
    <mergeCell ref="F6:G6"/>
    <mergeCell ref="B7:D7"/>
    <mergeCell ref="F7:G7"/>
    <mergeCell ref="A8:G8"/>
    <mergeCell ref="A17:D17"/>
    <mergeCell ref="A19:G19"/>
    <mergeCell ref="B20:G20"/>
    <mergeCell ref="B21:G21"/>
    <mergeCell ref="B22:G22"/>
    <mergeCell ref="B23:G23"/>
    <mergeCell ref="B24:G2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E21" sqref="E21"/>
    </sheetView>
  </sheetViews>
  <sheetFormatPr defaultColWidth="9" defaultRowHeight="13.5" outlineLevelCol="6"/>
  <cols>
    <col min="1" max="1" width="12" customWidth="1"/>
    <col min="2" max="2" width="26" customWidth="1"/>
    <col min="3" max="3" width="48" customWidth="1"/>
    <col min="4" max="4" width="12" customWidth="1"/>
    <col min="5" max="5" width="16" customWidth="1"/>
    <col min="6" max="6" width="18" customWidth="1"/>
    <col min="7" max="7" width="28" customWidth="1"/>
  </cols>
  <sheetData>
    <row r="1" ht="36" customHeight="1" spans="1:7">
      <c r="A1" s="1" t="s">
        <v>62</v>
      </c>
    </row>
    <row r="2" ht="22" customHeight="1" spans="1:7">
      <c r="A2" s="2" t="s">
        <v>63</v>
      </c>
    </row>
    <row r="3" ht="26" customHeight="1" spans="1:7">
      <c r="A3" s="3" t="s">
        <v>64</v>
      </c>
      <c r="B3" s="3" t="s">
        <v>65</v>
      </c>
      <c r="C3" s="3" t="s">
        <v>66</v>
      </c>
      <c r="D3" s="3" t="s">
        <v>67</v>
      </c>
      <c r="E3" s="3" t="s">
        <v>68</v>
      </c>
      <c r="F3" s="3" t="s">
        <v>69</v>
      </c>
      <c r="G3" s="3" t="s">
        <v>70</v>
      </c>
    </row>
    <row r="4" ht="25" customHeight="1" spans="1:7">
      <c r="A4" s="4" t="s">
        <v>71</v>
      </c>
      <c r="B4" s="5" t="s">
        <v>72</v>
      </c>
      <c r="C4" s="6" t="s">
        <v>73</v>
      </c>
      <c r="D4" s="4">
        <v>1</v>
      </c>
      <c r="E4" s="8">
        <v>28000</v>
      </c>
      <c r="F4" s="9">
        <f t="shared" ref="F4:F11" si="0">D4*E4</f>
        <v>28000</v>
      </c>
      <c r="G4" s="10" t="s">
        <v>74</v>
      </c>
    </row>
    <row r="5" ht="25" customHeight="1" spans="1:7">
      <c r="A5" s="11" t="s">
        <v>75</v>
      </c>
      <c r="B5" s="12" t="s">
        <v>76</v>
      </c>
      <c r="C5" s="13" t="s">
        <v>77</v>
      </c>
      <c r="D5" s="4">
        <v>1</v>
      </c>
      <c r="E5" s="15">
        <v>35000</v>
      </c>
      <c r="F5" s="16">
        <f t="shared" si="0"/>
        <v>35000</v>
      </c>
      <c r="G5" s="17" t="s">
        <v>78</v>
      </c>
    </row>
    <row r="6" ht="25" customHeight="1" spans="1:7">
      <c r="A6" s="4" t="s">
        <v>79</v>
      </c>
      <c r="B6" s="5" t="s">
        <v>80</v>
      </c>
      <c r="C6" s="6" t="s">
        <v>81</v>
      </c>
      <c r="D6" s="4">
        <v>1</v>
      </c>
      <c r="E6" s="8">
        <v>38000</v>
      </c>
      <c r="F6" s="9">
        <f t="shared" si="0"/>
        <v>38000</v>
      </c>
      <c r="G6" s="10" t="s">
        <v>82</v>
      </c>
    </row>
    <row r="7" ht="25" customHeight="1" spans="1:7">
      <c r="A7" s="11" t="s">
        <v>83</v>
      </c>
      <c r="B7" s="12" t="s">
        <v>84</v>
      </c>
      <c r="C7" s="13" t="s">
        <v>85</v>
      </c>
      <c r="D7" s="4">
        <v>1</v>
      </c>
      <c r="E7" s="15">
        <v>25000</v>
      </c>
      <c r="F7" s="16">
        <f t="shared" si="0"/>
        <v>25000</v>
      </c>
      <c r="G7" s="17" t="s">
        <v>86</v>
      </c>
    </row>
    <row r="8" ht="25" customHeight="1" spans="1:7">
      <c r="A8" s="4" t="s">
        <v>87</v>
      </c>
      <c r="B8" s="5" t="s">
        <v>88</v>
      </c>
      <c r="C8" s="6" t="s">
        <v>89</v>
      </c>
      <c r="D8" s="4">
        <v>1</v>
      </c>
      <c r="E8" s="8">
        <v>36000</v>
      </c>
      <c r="F8" s="9">
        <f t="shared" si="0"/>
        <v>36000</v>
      </c>
      <c r="G8" s="10" t="s">
        <v>90</v>
      </c>
    </row>
    <row r="9" ht="25" customHeight="1" spans="1:7">
      <c r="A9" s="11" t="s">
        <v>91</v>
      </c>
      <c r="B9" s="12" t="s">
        <v>92</v>
      </c>
      <c r="C9" s="13" t="s">
        <v>93</v>
      </c>
      <c r="D9" s="4">
        <v>1</v>
      </c>
      <c r="E9" s="15">
        <v>58000</v>
      </c>
      <c r="F9" s="16">
        <f t="shared" si="0"/>
        <v>58000</v>
      </c>
      <c r="G9" s="17" t="s">
        <v>94</v>
      </c>
    </row>
    <row r="10" ht="25" customHeight="1" spans="1:7">
      <c r="A10" s="4" t="s">
        <v>95</v>
      </c>
      <c r="B10" s="5" t="s">
        <v>96</v>
      </c>
      <c r="C10" s="6" t="s">
        <v>97</v>
      </c>
      <c r="D10" s="4">
        <v>1</v>
      </c>
      <c r="E10" s="8">
        <v>75000</v>
      </c>
      <c r="F10" s="9">
        <f t="shared" si="0"/>
        <v>75000</v>
      </c>
      <c r="G10" s="10" t="s">
        <v>98</v>
      </c>
    </row>
    <row r="11" ht="25" customHeight="1" spans="1:7">
      <c r="A11" s="11" t="s">
        <v>99</v>
      </c>
      <c r="B11" s="12" t="s">
        <v>100</v>
      </c>
      <c r="C11" s="13" t="s">
        <v>101</v>
      </c>
      <c r="D11" s="4">
        <v>1</v>
      </c>
      <c r="E11" s="15">
        <v>22000</v>
      </c>
      <c r="F11" s="16">
        <f t="shared" si="0"/>
        <v>22000</v>
      </c>
      <c r="G11" s="17" t="s">
        <v>102</v>
      </c>
    </row>
    <row r="12" ht="26" customHeight="1" spans="1:7">
      <c r="A12" s="23" t="s">
        <v>103</v>
      </c>
      <c r="B12" s="24"/>
      <c r="C12" s="24"/>
      <c r="D12" s="25" t="s">
        <v>104</v>
      </c>
      <c r="E12" s="25" t="s">
        <v>104</v>
      </c>
      <c r="F12" s="26">
        <f>SUM(F4:F11)</f>
        <v>317000</v>
      </c>
      <c r="G12" s="27" t="s">
        <v>105</v>
      </c>
    </row>
    <row r="13" ht="24" customHeight="1" spans="1:7">
      <c r="A13" s="28" t="s">
        <v>106</v>
      </c>
    </row>
    <row r="14" ht="25" customHeight="1" spans="1:7">
      <c r="A14" s="4" t="s">
        <v>107</v>
      </c>
      <c r="B14" s="5" t="s">
        <v>108</v>
      </c>
      <c r="C14" s="6" t="s">
        <v>109</v>
      </c>
      <c r="D14" s="7">
        <v>10</v>
      </c>
      <c r="E14" s="8">
        <v>1500</v>
      </c>
      <c r="F14" s="9">
        <f>D14*E14</f>
        <v>15000</v>
      </c>
      <c r="G14" s="10" t="s">
        <v>110</v>
      </c>
    </row>
    <row r="15" ht="25" customHeight="1" spans="1:7">
      <c r="A15" s="11" t="s">
        <v>111</v>
      </c>
      <c r="B15" s="12" t="s">
        <v>112</v>
      </c>
      <c r="C15" s="13" t="s">
        <v>113</v>
      </c>
      <c r="D15" s="14">
        <v>20</v>
      </c>
      <c r="E15" s="15">
        <v>900</v>
      </c>
      <c r="F15" s="16">
        <f>D15*E15</f>
        <v>18000</v>
      </c>
      <c r="G15" s="17" t="s">
        <v>114</v>
      </c>
    </row>
    <row r="16" ht="25" customHeight="1" spans="1:7">
      <c r="A16" s="4" t="s">
        <v>115</v>
      </c>
      <c r="B16" s="5" t="s">
        <v>116</v>
      </c>
      <c r="C16" s="6" t="s">
        <v>117</v>
      </c>
      <c r="D16" s="7">
        <v>1</v>
      </c>
      <c r="E16" s="8">
        <v>28000</v>
      </c>
      <c r="F16" s="9">
        <f>D16*E16</f>
        <v>28000</v>
      </c>
      <c r="G16" s="10" t="s">
        <v>118</v>
      </c>
    </row>
    <row r="17" ht="25" customHeight="1" spans="1:7">
      <c r="A17" s="11" t="s">
        <v>119</v>
      </c>
      <c r="B17" s="12" t="s">
        <v>120</v>
      </c>
      <c r="C17" s="13" t="s">
        <v>121</v>
      </c>
      <c r="D17" s="14">
        <v>1</v>
      </c>
      <c r="E17" s="15">
        <v>45000</v>
      </c>
      <c r="F17" s="16">
        <f>D17*E17</f>
        <v>45000</v>
      </c>
      <c r="G17" s="17" t="s">
        <v>122</v>
      </c>
    </row>
    <row r="18" ht="26" customHeight="1" spans="1:7">
      <c r="A18" s="23" t="s">
        <v>123</v>
      </c>
      <c r="B18" s="24"/>
      <c r="C18" s="24"/>
      <c r="D18" s="25" t="s">
        <v>104</v>
      </c>
      <c r="E18" s="25" t="s">
        <v>104</v>
      </c>
      <c r="F18" s="26">
        <f>SUM(F14:F17)</f>
        <v>106000</v>
      </c>
      <c r="G18" s="27" t="s">
        <v>124</v>
      </c>
    </row>
    <row r="19" ht="28" customHeight="1" spans="1:7">
      <c r="A19" s="18" t="s">
        <v>125</v>
      </c>
      <c r="B19" s="19"/>
      <c r="C19" s="19"/>
      <c r="D19" s="19"/>
      <c r="E19" s="19"/>
      <c r="F19" s="21">
        <f>F12+F18</f>
        <v>423000</v>
      </c>
      <c r="G19" s="22" t="s">
        <v>126</v>
      </c>
    </row>
    <row r="20" ht="14.25"/>
  </sheetData>
  <mergeCells count="6">
    <mergeCell ref="A1:G1"/>
    <mergeCell ref="A2:G2"/>
    <mergeCell ref="A12:C12"/>
    <mergeCell ref="A13:G13"/>
    <mergeCell ref="A18:C18"/>
    <mergeCell ref="A19:E1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1" sqref="A1:G1"/>
    </sheetView>
  </sheetViews>
  <sheetFormatPr defaultColWidth="9" defaultRowHeight="13.5" outlineLevelCol="6"/>
  <cols>
    <col min="1" max="1" width="12" customWidth="1"/>
    <col min="2" max="2" width="26" customWidth="1"/>
    <col min="3" max="3" width="48" customWidth="1"/>
    <col min="4" max="4" width="14" customWidth="1"/>
    <col min="5" max="5" width="16" customWidth="1"/>
    <col min="6" max="6" width="18" customWidth="1"/>
    <col min="7" max="7" width="28" customWidth="1"/>
  </cols>
  <sheetData>
    <row r="1" ht="36" customHeight="1" spans="1:7">
      <c r="A1" s="1" t="s">
        <v>127</v>
      </c>
    </row>
    <row r="2" ht="22" customHeight="1" spans="1:7">
      <c r="A2" s="2" t="s">
        <v>128</v>
      </c>
    </row>
    <row r="3" ht="26" customHeight="1" spans="1:7">
      <c r="A3" s="3" t="s">
        <v>129</v>
      </c>
      <c r="B3" s="3" t="s">
        <v>130</v>
      </c>
      <c r="C3" s="3" t="s">
        <v>131</v>
      </c>
      <c r="D3" s="3" t="s">
        <v>132</v>
      </c>
      <c r="E3" s="3" t="s">
        <v>133</v>
      </c>
      <c r="F3" s="3" t="s">
        <v>69</v>
      </c>
      <c r="G3" s="3" t="s">
        <v>134</v>
      </c>
    </row>
    <row r="4" ht="25" customHeight="1" spans="1:7">
      <c r="A4" s="4" t="s">
        <v>135</v>
      </c>
      <c r="B4" s="5" t="s">
        <v>136</v>
      </c>
      <c r="C4" s="6" t="s">
        <v>137</v>
      </c>
      <c r="D4" s="7">
        <v>18</v>
      </c>
      <c r="E4" s="8">
        <v>2200</v>
      </c>
      <c r="F4" s="9">
        <f t="shared" ref="F4:F14" si="0">D4*E4</f>
        <v>39600</v>
      </c>
      <c r="G4" s="10" t="s">
        <v>138</v>
      </c>
    </row>
    <row r="5" ht="25" customHeight="1" spans="1:7">
      <c r="A5" s="11" t="s">
        <v>139</v>
      </c>
      <c r="B5" s="12" t="s">
        <v>140</v>
      </c>
      <c r="C5" s="13" t="s">
        <v>141</v>
      </c>
      <c r="D5" s="14">
        <v>12</v>
      </c>
      <c r="E5" s="15">
        <v>2200</v>
      </c>
      <c r="F5" s="16">
        <f t="shared" si="0"/>
        <v>26400</v>
      </c>
      <c r="G5" s="17" t="s">
        <v>142</v>
      </c>
    </row>
    <row r="6" ht="25" customHeight="1" spans="1:7">
      <c r="A6" s="4" t="s">
        <v>143</v>
      </c>
      <c r="B6" s="5" t="s">
        <v>144</v>
      </c>
      <c r="C6" s="6" t="s">
        <v>145</v>
      </c>
      <c r="D6" s="7">
        <v>14</v>
      </c>
      <c r="E6" s="8">
        <v>2200</v>
      </c>
      <c r="F6" s="9">
        <f t="shared" si="0"/>
        <v>30800</v>
      </c>
      <c r="G6" s="10" t="s">
        <v>146</v>
      </c>
    </row>
    <row r="7" ht="25" customHeight="1" spans="1:7">
      <c r="A7" s="11" t="s">
        <v>147</v>
      </c>
      <c r="B7" s="12" t="s">
        <v>148</v>
      </c>
      <c r="C7" s="13" t="s">
        <v>149</v>
      </c>
      <c r="D7" s="14">
        <v>12</v>
      </c>
      <c r="E7" s="15">
        <v>2200</v>
      </c>
      <c r="F7" s="16">
        <f t="shared" si="0"/>
        <v>26400</v>
      </c>
      <c r="G7" s="17" t="s">
        <v>150</v>
      </c>
    </row>
    <row r="8" ht="25" customHeight="1" spans="1:7">
      <c r="A8" s="4" t="s">
        <v>151</v>
      </c>
      <c r="B8" s="5" t="s">
        <v>152</v>
      </c>
      <c r="C8" s="6" t="s">
        <v>153</v>
      </c>
      <c r="D8" s="7">
        <v>16</v>
      </c>
      <c r="E8" s="8">
        <v>2500</v>
      </c>
      <c r="F8" s="9">
        <f t="shared" si="0"/>
        <v>40000</v>
      </c>
      <c r="G8" s="10" t="s">
        <v>154</v>
      </c>
    </row>
    <row r="9" ht="25" customHeight="1" spans="1:7">
      <c r="A9" s="11" t="s">
        <v>155</v>
      </c>
      <c r="B9" s="12" t="s">
        <v>156</v>
      </c>
      <c r="C9" s="13" t="s">
        <v>157</v>
      </c>
      <c r="D9" s="14">
        <v>15</v>
      </c>
      <c r="E9" s="15">
        <v>2500</v>
      </c>
      <c r="F9" s="16">
        <f t="shared" si="0"/>
        <v>37500</v>
      </c>
      <c r="G9" s="17" t="s">
        <v>158</v>
      </c>
    </row>
    <row r="10" ht="25" customHeight="1" spans="1:7">
      <c r="A10" s="4" t="s">
        <v>159</v>
      </c>
      <c r="B10" s="5" t="s">
        <v>160</v>
      </c>
      <c r="C10" s="6" t="s">
        <v>161</v>
      </c>
      <c r="D10" s="7">
        <v>12</v>
      </c>
      <c r="E10" s="8">
        <v>2500</v>
      </c>
      <c r="F10" s="9">
        <f t="shared" si="0"/>
        <v>30000</v>
      </c>
      <c r="G10" s="10" t="s">
        <v>162</v>
      </c>
    </row>
    <row r="11" ht="25" customHeight="1" spans="1:7">
      <c r="A11" s="11" t="s">
        <v>163</v>
      </c>
      <c r="B11" s="12" t="s">
        <v>164</v>
      </c>
      <c r="C11" s="13" t="s">
        <v>165</v>
      </c>
      <c r="D11" s="14">
        <v>10</v>
      </c>
      <c r="E11" s="15">
        <v>2000</v>
      </c>
      <c r="F11" s="16">
        <f t="shared" si="0"/>
        <v>20000</v>
      </c>
      <c r="G11" s="17" t="s">
        <v>166</v>
      </c>
    </row>
    <row r="12" ht="25" customHeight="1" spans="1:7">
      <c r="A12" s="4" t="s">
        <v>167</v>
      </c>
      <c r="B12" s="5" t="s">
        <v>168</v>
      </c>
      <c r="C12" s="6" t="s">
        <v>169</v>
      </c>
      <c r="D12" s="7">
        <v>14</v>
      </c>
      <c r="E12" s="8">
        <v>2200</v>
      </c>
      <c r="F12" s="9">
        <f t="shared" si="0"/>
        <v>30800</v>
      </c>
      <c r="G12" s="10" t="s">
        <v>170</v>
      </c>
    </row>
    <row r="13" ht="25" customHeight="1" spans="1:7">
      <c r="A13" s="11" t="s">
        <v>171</v>
      </c>
      <c r="B13" s="12" t="s">
        <v>172</v>
      </c>
      <c r="C13" s="13" t="s">
        <v>173</v>
      </c>
      <c r="D13" s="14">
        <v>12</v>
      </c>
      <c r="E13" s="15">
        <v>2000</v>
      </c>
      <c r="F13" s="16">
        <f t="shared" si="0"/>
        <v>24000</v>
      </c>
      <c r="G13" s="17" t="s">
        <v>174</v>
      </c>
    </row>
    <row r="14" ht="25" customHeight="1" spans="1:7">
      <c r="A14" s="4" t="s">
        <v>175</v>
      </c>
      <c r="B14" s="5" t="s">
        <v>176</v>
      </c>
      <c r="C14" s="6" t="s">
        <v>177</v>
      </c>
      <c r="D14" s="7">
        <v>6</v>
      </c>
      <c r="E14" s="8">
        <v>2000</v>
      </c>
      <c r="F14" s="9">
        <f t="shared" si="0"/>
        <v>12000</v>
      </c>
      <c r="G14" s="10" t="s">
        <v>178</v>
      </c>
    </row>
    <row r="15" ht="28" customHeight="1" spans="1:7">
      <c r="A15" s="18" t="s">
        <v>179</v>
      </c>
      <c r="B15" s="19"/>
      <c r="C15" s="19"/>
      <c r="D15" s="29">
        <f>SUM(D4:D14)</f>
        <v>141</v>
      </c>
      <c r="E15" s="30" t="s">
        <v>104</v>
      </c>
      <c r="F15" s="21">
        <f>SUM(F4:F14)</f>
        <v>317500</v>
      </c>
      <c r="G15" s="22" t="s">
        <v>180</v>
      </c>
    </row>
    <row r="16" ht="14.25"/>
  </sheetData>
  <mergeCells count="3">
    <mergeCell ref="A1:G1"/>
    <mergeCell ref="A2:G2"/>
    <mergeCell ref="A15:C1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D19" sqref="D19"/>
    </sheetView>
  </sheetViews>
  <sheetFormatPr defaultColWidth="9" defaultRowHeight="13.5" outlineLevelCol="6"/>
  <cols>
    <col min="1" max="1" width="12" customWidth="1"/>
    <col min="2" max="2" width="26" customWidth="1"/>
    <col min="3" max="3" width="48" customWidth="1"/>
    <col min="4" max="4" width="14" customWidth="1"/>
    <col min="5" max="5" width="16" customWidth="1"/>
    <col min="6" max="6" width="18" customWidth="1"/>
    <col min="7" max="7" width="28" customWidth="1"/>
  </cols>
  <sheetData>
    <row r="1" ht="36" customHeight="1" spans="1:7">
      <c r="A1" s="1" t="s">
        <v>181</v>
      </c>
    </row>
    <row r="2" ht="22" customHeight="1" spans="1:7">
      <c r="A2" s="2" t="s">
        <v>182</v>
      </c>
    </row>
    <row r="3" ht="26" customHeight="1" spans="1:7">
      <c r="A3" s="3" t="s">
        <v>183</v>
      </c>
      <c r="B3" s="3" t="s">
        <v>184</v>
      </c>
      <c r="C3" s="3" t="s">
        <v>185</v>
      </c>
      <c r="D3" s="3" t="s">
        <v>186</v>
      </c>
      <c r="E3" s="3" t="s">
        <v>187</v>
      </c>
      <c r="F3" s="3" t="s">
        <v>69</v>
      </c>
      <c r="G3" s="3" t="s">
        <v>188</v>
      </c>
    </row>
    <row r="4" ht="25" customHeight="1" spans="1:7">
      <c r="A4" s="4" t="s">
        <v>189</v>
      </c>
      <c r="B4" s="5" t="s">
        <v>190</v>
      </c>
      <c r="C4" s="6" t="s">
        <v>191</v>
      </c>
      <c r="D4" s="4">
        <v>1</v>
      </c>
      <c r="E4" s="8">
        <v>28000</v>
      </c>
      <c r="F4" s="9">
        <f>D4*E4</f>
        <v>28000</v>
      </c>
      <c r="G4" s="10" t="s">
        <v>192</v>
      </c>
    </row>
    <row r="5" ht="25" customHeight="1" spans="1:7">
      <c r="A5" s="11" t="s">
        <v>193</v>
      </c>
      <c r="B5" s="12" t="s">
        <v>194</v>
      </c>
      <c r="C5" s="13" t="s">
        <v>195</v>
      </c>
      <c r="D5" s="11">
        <v>1</v>
      </c>
      <c r="E5" s="15">
        <v>35000</v>
      </c>
      <c r="F5" s="16">
        <f>D5*E5</f>
        <v>35000</v>
      </c>
      <c r="G5" s="17" t="s">
        <v>196</v>
      </c>
    </row>
    <row r="6" ht="25" customHeight="1" spans="1:7">
      <c r="A6" s="4" t="s">
        <v>197</v>
      </c>
      <c r="B6" s="5" t="s">
        <v>198</v>
      </c>
      <c r="C6" s="6" t="s">
        <v>199</v>
      </c>
      <c r="D6" s="4">
        <v>1</v>
      </c>
      <c r="E6" s="8">
        <v>32000</v>
      </c>
      <c r="F6" s="9">
        <f>D6*E6</f>
        <v>32000</v>
      </c>
      <c r="G6" s="10" t="s">
        <v>200</v>
      </c>
    </row>
    <row r="7" ht="25" customHeight="1" spans="1:7">
      <c r="A7" s="11" t="s">
        <v>201</v>
      </c>
      <c r="B7" s="12" t="s">
        <v>202</v>
      </c>
      <c r="C7" s="13" t="s">
        <v>203</v>
      </c>
      <c r="D7" s="11">
        <v>1</v>
      </c>
      <c r="E7" s="15">
        <v>22000</v>
      </c>
      <c r="F7" s="16">
        <f>D7*E7</f>
        <v>22000</v>
      </c>
      <c r="G7" s="17" t="s">
        <v>204</v>
      </c>
    </row>
    <row r="8" ht="26" customHeight="1" spans="1:7">
      <c r="A8" s="23" t="s">
        <v>205</v>
      </c>
      <c r="B8" s="24"/>
      <c r="C8" s="24"/>
      <c r="D8" s="25" t="s">
        <v>104</v>
      </c>
      <c r="E8" s="25" t="s">
        <v>104</v>
      </c>
      <c r="F8" s="26">
        <f>SUM(F4:F7)</f>
        <v>117000</v>
      </c>
      <c r="G8" s="27" t="s">
        <v>206</v>
      </c>
    </row>
    <row r="9" ht="24" customHeight="1" spans="1:7">
      <c r="A9" s="28" t="s">
        <v>207</v>
      </c>
    </row>
    <row r="10" ht="25" customHeight="1" spans="1:7">
      <c r="A10" s="4" t="s">
        <v>208</v>
      </c>
      <c r="B10" s="5" t="s">
        <v>209</v>
      </c>
      <c r="C10" s="6" t="s">
        <v>210</v>
      </c>
      <c r="D10" s="7">
        <v>1</v>
      </c>
      <c r="E10" s="8">
        <v>55000</v>
      </c>
      <c r="F10" s="9">
        <f>D10*E10</f>
        <v>55000</v>
      </c>
      <c r="G10" s="10" t="s">
        <v>211</v>
      </c>
    </row>
    <row r="11" ht="25" customHeight="1" spans="1:7">
      <c r="A11" s="11" t="s">
        <v>212</v>
      </c>
      <c r="B11" s="12" t="s">
        <v>213</v>
      </c>
      <c r="C11" s="13" t="s">
        <v>214</v>
      </c>
      <c r="D11" s="14">
        <v>2</v>
      </c>
      <c r="E11" s="15">
        <v>28000</v>
      </c>
      <c r="F11" s="16">
        <f>D11*E11</f>
        <v>56000</v>
      </c>
      <c r="G11" s="17" t="s">
        <v>215</v>
      </c>
    </row>
    <row r="12" ht="25" customHeight="1" spans="1:7">
      <c r="A12" s="4" t="s">
        <v>216</v>
      </c>
      <c r="B12" s="5" t="s">
        <v>217</v>
      </c>
      <c r="C12" s="6" t="s">
        <v>218</v>
      </c>
      <c r="D12" s="7">
        <v>1</v>
      </c>
      <c r="E12" s="8">
        <v>18000</v>
      </c>
      <c r="F12" s="9">
        <f>D12*E12</f>
        <v>18000</v>
      </c>
      <c r="G12" s="10" t="s">
        <v>219</v>
      </c>
    </row>
    <row r="13" ht="26" customHeight="1" spans="1:7">
      <c r="A13" s="23" t="s">
        <v>220</v>
      </c>
      <c r="B13" s="24"/>
      <c r="C13" s="24"/>
      <c r="D13" s="25" t="s">
        <v>104</v>
      </c>
      <c r="E13" s="25" t="s">
        <v>104</v>
      </c>
      <c r="F13" s="26">
        <f>SUM(F10:F12)</f>
        <v>129000</v>
      </c>
      <c r="G13" s="27" t="s">
        <v>221</v>
      </c>
    </row>
    <row r="14" ht="28" customHeight="1" spans="1:7">
      <c r="A14" s="18" t="s">
        <v>222</v>
      </c>
      <c r="B14" s="19"/>
      <c r="C14" s="19"/>
      <c r="D14" s="19"/>
      <c r="E14" s="19"/>
      <c r="F14" s="21">
        <f>F8+F13</f>
        <v>246000</v>
      </c>
      <c r="G14" s="22" t="s">
        <v>223</v>
      </c>
    </row>
    <row r="15" ht="14.25"/>
  </sheetData>
  <mergeCells count="6">
    <mergeCell ref="A1:G1"/>
    <mergeCell ref="A2:G2"/>
    <mergeCell ref="A8:C8"/>
    <mergeCell ref="A9:G9"/>
    <mergeCell ref="A13:C13"/>
    <mergeCell ref="A14:E1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D19" sqref="D19"/>
    </sheetView>
  </sheetViews>
  <sheetFormatPr defaultColWidth="9" defaultRowHeight="13.5" outlineLevelCol="6"/>
  <cols>
    <col min="1" max="1" width="12" customWidth="1"/>
    <col min="2" max="2" width="26" customWidth="1"/>
    <col min="3" max="3" width="48" customWidth="1"/>
    <col min="4" max="4" width="12" customWidth="1"/>
    <col min="5" max="5" width="16" customWidth="1"/>
    <col min="6" max="6" width="18" customWidth="1"/>
    <col min="7" max="7" width="28" customWidth="1"/>
  </cols>
  <sheetData>
    <row r="1" ht="36" customHeight="1" spans="1:7">
      <c r="A1" s="1" t="s">
        <v>224</v>
      </c>
    </row>
    <row r="2" ht="22" customHeight="1" spans="1:7">
      <c r="A2" s="2" t="s">
        <v>225</v>
      </c>
    </row>
    <row r="3" ht="26" customHeight="1" spans="1:7">
      <c r="A3" s="3" t="s">
        <v>226</v>
      </c>
      <c r="B3" s="3" t="s">
        <v>227</v>
      </c>
      <c r="C3" s="3" t="s">
        <v>228</v>
      </c>
      <c r="D3" s="3" t="s">
        <v>229</v>
      </c>
      <c r="E3" s="3" t="s">
        <v>187</v>
      </c>
      <c r="F3" s="3" t="s">
        <v>69</v>
      </c>
      <c r="G3" s="3" t="s">
        <v>230</v>
      </c>
    </row>
    <row r="4" ht="25" customHeight="1" spans="1:7">
      <c r="A4" s="4" t="s">
        <v>231</v>
      </c>
      <c r="B4" s="5" t="s">
        <v>232</v>
      </c>
      <c r="C4" s="6" t="s">
        <v>233</v>
      </c>
      <c r="D4" s="7">
        <v>200</v>
      </c>
      <c r="E4" s="8">
        <v>165</v>
      </c>
      <c r="F4" s="9">
        <f t="shared" ref="F4:F9" si="0">D4*E4</f>
        <v>33000</v>
      </c>
      <c r="G4" s="10" t="s">
        <v>234</v>
      </c>
    </row>
    <row r="5" ht="25" customHeight="1" spans="1:7">
      <c r="A5" s="11" t="s">
        <v>235</v>
      </c>
      <c r="B5" s="12" t="s">
        <v>236</v>
      </c>
      <c r="C5" s="13" t="s">
        <v>237</v>
      </c>
      <c r="D5" s="14">
        <v>200</v>
      </c>
      <c r="E5" s="15">
        <v>75</v>
      </c>
      <c r="F5" s="16">
        <f t="shared" si="0"/>
        <v>15000</v>
      </c>
      <c r="G5" s="17" t="s">
        <v>238</v>
      </c>
    </row>
    <row r="6" ht="25" customHeight="1" spans="1:7">
      <c r="A6" s="4" t="s">
        <v>239</v>
      </c>
      <c r="B6" s="5" t="s">
        <v>240</v>
      </c>
      <c r="C6" s="6" t="s">
        <v>241</v>
      </c>
      <c r="D6" s="7">
        <v>200</v>
      </c>
      <c r="E6" s="8">
        <v>32</v>
      </c>
      <c r="F6" s="9">
        <f t="shared" si="0"/>
        <v>6400</v>
      </c>
      <c r="G6" s="10" t="s">
        <v>242</v>
      </c>
    </row>
    <row r="7" ht="25" customHeight="1" spans="1:7">
      <c r="A7" s="11" t="s">
        <v>243</v>
      </c>
      <c r="B7" s="12" t="s">
        <v>244</v>
      </c>
      <c r="C7" s="13" t="s">
        <v>245</v>
      </c>
      <c r="D7" s="14">
        <v>200</v>
      </c>
      <c r="E7" s="15">
        <v>48</v>
      </c>
      <c r="F7" s="16">
        <f t="shared" si="0"/>
        <v>9600</v>
      </c>
      <c r="G7" s="17" t="s">
        <v>246</v>
      </c>
    </row>
    <row r="8" ht="25" customHeight="1" spans="1:7">
      <c r="A8" s="4" t="s">
        <v>247</v>
      </c>
      <c r="B8" s="5" t="s">
        <v>248</v>
      </c>
      <c r="C8" s="6" t="s">
        <v>249</v>
      </c>
      <c r="D8" s="7">
        <v>200</v>
      </c>
      <c r="E8" s="8">
        <v>35</v>
      </c>
      <c r="F8" s="9">
        <f t="shared" si="0"/>
        <v>7000</v>
      </c>
      <c r="G8" s="10" t="s">
        <v>250</v>
      </c>
    </row>
    <row r="9" ht="25" customHeight="1" spans="1:7">
      <c r="A9" s="11" t="s">
        <v>251</v>
      </c>
      <c r="B9" s="12" t="s">
        <v>252</v>
      </c>
      <c r="C9" s="13" t="s">
        <v>253</v>
      </c>
      <c r="D9" s="14">
        <v>200</v>
      </c>
      <c r="E9" s="15">
        <v>25</v>
      </c>
      <c r="F9" s="16">
        <f t="shared" si="0"/>
        <v>5000</v>
      </c>
      <c r="G9" s="17" t="s">
        <v>254</v>
      </c>
    </row>
    <row r="10" ht="28" customHeight="1" spans="1:7">
      <c r="A10" s="18" t="s">
        <v>255</v>
      </c>
      <c r="B10" s="19"/>
      <c r="C10" s="19"/>
      <c r="D10" s="18">
        <v>200</v>
      </c>
      <c r="E10" s="20">
        <f>F10/D10</f>
        <v>380</v>
      </c>
      <c r="F10" s="21">
        <f>SUM(F4:F9)</f>
        <v>76000</v>
      </c>
      <c r="G10" s="22" t="s">
        <v>256</v>
      </c>
    </row>
    <row r="11" ht="14.25"/>
  </sheetData>
  <mergeCells count="3">
    <mergeCell ref="A1:G1"/>
    <mergeCell ref="A2:G2"/>
    <mergeCell ref="A10:C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项目总览与综合报价</vt:lpstr>
      <vt:lpstr>硬件研发与开模明细</vt:lpstr>
      <vt:lpstr>软件与多端系统研发明细</vt:lpstr>
      <vt:lpstr>AI模型算法与算力服务器部署</vt:lpstr>
      <vt:lpstr>首批耳机试产费用(200套)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悠想</cp:lastModifiedBy>
  <dcterms:created xsi:type="dcterms:W3CDTF">2026-08-27T15:01:00Z</dcterms:created>
  <dcterms:modified xsi:type="dcterms:W3CDTF">2026-08-27T15:38:24Z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1D7FAF3C93E84B8EAB9055829932162E_12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