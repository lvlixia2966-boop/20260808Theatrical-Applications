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xmlns:r="http://schemas.openxmlformats.org/officeDocument/2006/relationships" name="方案1_录播导览耳机" sheetId="1" state="visible" r:id="rId1"/>
    <sheet xmlns:r="http://schemas.openxmlformats.org/officeDocument/2006/relationships" name="方案2_Agent知识伴游" sheetId="2" state="visible" r:id="rId2"/>
    <sheet xmlns:r="http://schemas.openxmlformats.org/officeDocument/2006/relationships" name="方案3_实时对话翻译" sheetId="3" state="visible" r:id="rId3"/>
    <sheet xmlns:r="http://schemas.openxmlformats.org/officeDocument/2006/relationships" name="方案4_私有化开源模型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¥#,##0"/>
  </numFmts>
  <fonts count="17">
    <font>
      <name val="Carlito"/>
      <sz val="11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4B1621"/>
      <sz val="11"/>
    </font>
    <font>
      <name val="Microsoft YaHei"/>
      <charset val="134"/>
      <family val="2"/>
      <b val="1"/>
      <color rgb="FF4B1621"/>
      <sz val="10"/>
    </font>
    <font>
      <name val="Microsoft YaHei"/>
      <charset val="134"/>
      <family val="2"/>
      <color rgb="FF2D2926"/>
      <sz val="10"/>
    </font>
    <font>
      <name val="Microsoft YaHei"/>
      <charset val="134"/>
      <family val="2"/>
      <b val="1"/>
      <color rgb="FF7A1F2B"/>
      <sz val="16"/>
    </font>
    <font>
      <name val="Microsoft YaHei"/>
      <charset val="134"/>
      <family val="2"/>
      <b val="1"/>
      <color rgb="FF7A1F2B"/>
      <sz val="12"/>
    </font>
    <font>
      <name val="Microsoft YaHei"/>
      <charset val="134"/>
      <family val="2"/>
      <sz val="11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color rgb="FF2D2926"/>
      <sz val="9"/>
    </font>
    <font>
      <name val="Microsoft YaHei"/>
      <charset val="134"/>
      <family val="2"/>
      <b val="1"/>
      <color rgb="FF4B1621"/>
      <sz val="9"/>
    </font>
    <font>
      <name val="Microsoft YaHei"/>
      <charset val="134"/>
      <family val="2"/>
      <color rgb="FF1F4E78"/>
      <sz val="9"/>
    </font>
    <font>
      <name val="Microsoft YaHei"/>
      <charset val="134"/>
      <family val="2"/>
      <b val="1"/>
      <color rgb="FFFFFFFF"/>
      <sz val="12"/>
    </font>
    <font>
      <name val="Microsoft YaHei"/>
      <charset val="134"/>
      <family val="2"/>
      <b val="1"/>
      <color rgb="FF4B1621"/>
      <sz val="11"/>
    </font>
    <font>
      <name val="Microsoft YaHei"/>
      <charset val="134"/>
      <family val="2"/>
      <color rgb="FF6B625B"/>
      <sz val="9"/>
    </font>
    <font>
      <name val="Carlito"/>
      <sz val="11"/>
    </font>
    <font>
      <name val="宋体"/>
      <charset val="134"/>
      <family val="3"/>
      <sz val="9"/>
    </font>
  </fonts>
  <fills count="11">
    <fill>
      <patternFill/>
    </fill>
    <fill>
      <patternFill patternType="gray125"/>
    </fill>
    <fill>
      <patternFill patternType="solid">
        <fgColor rgb="FF7A1F2B"/>
      </patternFill>
    </fill>
    <fill>
      <patternFill patternType="solid">
        <fgColor rgb="FFF7EFE3"/>
      </patternFill>
    </fill>
    <fill>
      <patternFill patternType="solid">
        <fgColor rgb="FFFCF9F4"/>
      </patternFill>
    </fill>
    <fill>
      <patternFill patternType="solid">
        <fgColor rgb="FFFFF0C7"/>
      </patternFill>
    </fill>
    <fill>
      <patternFill patternType="solid">
        <fgColor rgb="FF4B1621"/>
      </patternFill>
    </fill>
    <fill>
      <patternFill patternType="solid">
        <fgColor rgb="FFF3ECE5"/>
      </patternFill>
    </fill>
    <fill>
      <patternFill patternType="solid">
        <fgColor rgb="FFD6A64F"/>
      </patternFill>
    </fill>
    <fill>
      <patternFill patternType="solid">
        <fgColor rgb="FFF2F6FA"/>
      </patternFill>
    </fill>
    <fill>
      <patternFill patternType="solid">
        <fgColor rgb="FFEDF5EE"/>
      </patternFill>
    </fill>
  </fills>
  <borders count="22">
    <border>
      <left/>
      <right/>
      <top/>
      <bottom/>
      <diagonal/>
    </border>
    <border>
      <left/>
      <right style="thin">
        <color rgb="FFD8CEC2"/>
      </right>
      <top/>
      <bottom style="thin">
        <color rgb="FFD8CEC2"/>
      </bottom>
      <diagonal/>
    </border>
    <border>
      <left style="thin">
        <color rgb="FFD8CEC2"/>
      </left>
      <right style="thin">
        <color rgb="FFD8CEC2"/>
      </right>
      <top/>
      <bottom style="thin">
        <color rgb="FFD8CEC2"/>
      </bottom>
      <diagonal/>
    </border>
    <border>
      <left style="thin">
        <color rgb="FFD8CEC2"/>
      </left>
      <right/>
      <top/>
      <bottom style="thin">
        <color rgb="FFD8CEC2"/>
      </bottom>
      <diagonal/>
    </border>
    <border>
      <left/>
      <right style="thin">
        <color rgb="FFD8CEC2"/>
      </right>
      <top style="thin">
        <color rgb="FFD8CEC2"/>
      </top>
      <bottom style="thin">
        <color rgb="FFD8CEC2"/>
      </bottom>
      <diagonal/>
    </border>
    <border>
      <left style="thin">
        <color rgb="FFD8CEC2"/>
      </left>
      <right style="thin">
        <color rgb="FFD8CEC2"/>
      </right>
      <top style="thin">
        <color rgb="FFD8CEC2"/>
      </top>
      <bottom style="thin">
        <color rgb="FFD8CEC2"/>
      </bottom>
      <diagonal/>
    </border>
    <border>
      <left style="thin">
        <color rgb="FFD8CEC2"/>
      </left>
      <right/>
      <top style="thin">
        <color rgb="FFD8CEC2"/>
      </top>
      <bottom style="thin">
        <color rgb="FFD8CEC2"/>
      </bottom>
      <diagonal/>
    </border>
    <border>
      <left/>
      <right style="thin">
        <color rgb="FFD8CEC2"/>
      </right>
      <top style="thin">
        <color rgb="FFD8CEC2"/>
      </top>
      <bottom/>
      <diagonal/>
    </border>
    <border>
      <left style="thin">
        <color rgb="FFD8CEC2"/>
      </left>
      <right style="thin">
        <color rgb="FFD8CEC2"/>
      </right>
      <top style="thin">
        <color rgb="FFD8CEC2"/>
      </top>
      <bottom/>
      <diagonal/>
    </border>
    <border>
      <left style="thin">
        <color rgb="FFD8CEC2"/>
      </left>
      <right/>
      <top style="thin">
        <color rgb="FFD8CEC2"/>
      </top>
      <bottom/>
      <diagonal/>
    </border>
    <border>
      <left style="thin">
        <color rgb="FFB98A92"/>
      </left>
      <right style="thin">
        <color rgb="FFB98A92"/>
      </right>
      <top style="thin">
        <color rgb="FFB98A92"/>
      </top>
      <bottom style="thin">
        <color rgb="FFB98A92"/>
      </bottom>
      <diagonal/>
    </border>
    <border>
      <left/>
      <right/>
      <top/>
      <bottom style="thin">
        <color rgb="FFD8CEC2"/>
      </bottom>
      <diagonal/>
    </border>
    <border>
      <left/>
      <right/>
      <top style="thin">
        <color rgb="FFD8CEC2"/>
      </top>
      <bottom style="thin">
        <color rgb="FFD8CEC2"/>
      </bottom>
      <diagonal/>
    </border>
    <border>
      <left style="medium">
        <color rgb="FF4B1621"/>
      </left>
      <right/>
      <top style="medium">
        <color rgb="FF4B1621"/>
      </top>
      <bottom style="medium">
        <color rgb="FF4B1621"/>
      </bottom>
      <diagonal/>
    </border>
    <border>
      <left/>
      <right/>
      <top style="medium">
        <color rgb="FF4B1621"/>
      </top>
      <bottom style="medium">
        <color rgb="FF4B1621"/>
      </bottom>
      <diagonal/>
    </border>
    <border>
      <left/>
      <right style="medium">
        <color rgb="FF4B1621"/>
      </right>
      <top style="medium">
        <color rgb="FF4B1621"/>
      </top>
      <bottom style="medium">
        <color rgb="FF4B1621"/>
      </bottom>
      <diagonal/>
    </border>
    <border>
      <left/>
      <right/>
      <top/>
      <bottom style="thin">
        <color rgb="FFE8E0D7"/>
      </bottom>
      <diagonal/>
    </border>
    <border>
      <left/>
      <right/>
      <top style="thin">
        <color rgb="FFE8E0D7"/>
      </top>
      <bottom style="thin">
        <color rgb="FFE8E0D7"/>
      </bottom>
      <diagonal/>
    </border>
    <border>
      <left/>
      <right/>
      <top style="thin">
        <color rgb="FFE8E0D7"/>
      </top>
      <bottom/>
      <diagonal/>
    </border>
    <border>
      <left/>
      <right style="thin">
        <color rgb="FFD8CEC2"/>
      </right>
      <top/>
      <bottom/>
      <diagonal/>
    </border>
    <border>
      <left/>
      <right/>
      <top style="thin">
        <color rgb="FFD8CEC2"/>
      </top>
      <bottom/>
      <diagonal/>
    </border>
    <border>
      <left/>
      <right/>
      <top style="medium">
        <color rgb="FF4B1621"/>
      </top>
      <bottom/>
      <diagonal/>
    </border>
  </borders>
  <cellStyleXfs count="2">
    <xf numFmtId="0" fontId="15" fillId="0" borderId="0"/>
    <xf numFmtId="0" fontId="15" fillId="0" borderId="0"/>
  </cellStyleXfs>
  <cellXfs count="51">
    <xf numFmtId="0" fontId="0" fillId="0" borderId="0" pivotButton="0" quotePrefix="0" xfId="0"/>
    <xf numFmtId="0" fontId="4" fillId="4" borderId="6" applyAlignment="1" pivotButton="0" quotePrefix="0" xfId="1">
      <alignment vertical="center" wrapText="1"/>
    </xf>
    <xf numFmtId="164" fontId="6" fillId="5" borderId="9" applyAlignment="1" pivotButton="0" quotePrefix="0" xfId="1">
      <alignment horizontal="right" vertical="center" wrapText="1"/>
    </xf>
    <xf numFmtId="0" fontId="8" fillId="6" borderId="10" applyAlignment="1" pivotButton="0" quotePrefix="0" xfId="1">
      <alignment horizontal="center" vertical="center" wrapText="1"/>
    </xf>
    <xf numFmtId="0" fontId="9" fillId="0" borderId="11" applyAlignment="1" pivotButton="0" quotePrefix="0" xfId="1">
      <alignment horizontal="center" vertical="center" wrapText="1"/>
    </xf>
    <xf numFmtId="0" fontId="10" fillId="7" borderId="11" applyAlignment="1" pivotButton="0" quotePrefix="0" xfId="1">
      <alignment horizontal="center" vertical="center" wrapText="1"/>
    </xf>
    <xf numFmtId="0" fontId="9" fillId="0" borderId="11" applyAlignment="1" pivotButton="0" quotePrefix="0" xfId="1">
      <alignment vertical="center" wrapText="1"/>
    </xf>
    <xf numFmtId="1" fontId="11" fillId="0" borderId="11" applyAlignment="1" pivotButton="0" quotePrefix="0" xfId="1">
      <alignment horizontal="center" vertical="center" wrapText="1"/>
    </xf>
    <xf numFmtId="0" fontId="9" fillId="0" borderId="12" applyAlignment="1" pivotButton="0" quotePrefix="0" xfId="1">
      <alignment horizontal="center" vertical="center" wrapText="1"/>
    </xf>
    <xf numFmtId="0" fontId="10" fillId="7" borderId="12" applyAlignment="1" pivotButton="0" quotePrefix="0" xfId="1">
      <alignment horizontal="center" vertical="center" wrapText="1"/>
    </xf>
    <xf numFmtId="0" fontId="9" fillId="0" borderId="12" applyAlignment="1" pivotButton="0" quotePrefix="0" xfId="1">
      <alignment vertical="center" wrapText="1"/>
    </xf>
    <xf numFmtId="1" fontId="11" fillId="0" borderId="12" applyAlignment="1" pivotButton="0" quotePrefix="0" xfId="1">
      <alignment horizontal="center" vertical="center" wrapText="1"/>
    </xf>
    <xf numFmtId="164" fontId="12" fillId="2" borderId="15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164" fontId="9" fillId="9" borderId="11" applyAlignment="1" pivotButton="0" quotePrefix="0" xfId="1">
      <alignment horizontal="right" vertical="center" wrapText="1"/>
    </xf>
    <xf numFmtId="164" fontId="9" fillId="9" borderId="12" applyAlignment="1" pivotButton="0" quotePrefix="0" xfId="1">
      <alignment horizontal="right" vertical="center" wrapText="1"/>
    </xf>
    <xf numFmtId="164" fontId="9" fillId="10" borderId="11" applyAlignment="1" pivotButton="0" quotePrefix="0" xfId="1">
      <alignment horizontal="right" vertical="center" wrapText="1"/>
    </xf>
    <xf numFmtId="164" fontId="9" fillId="10" borderId="12" applyAlignment="1" pivotButton="0" quotePrefix="0" xfId="1">
      <alignment horizontal="right" vertical="center" wrapText="1"/>
    </xf>
    <xf numFmtId="0" fontId="14" fillId="4" borderId="17" applyAlignment="1" pivotButton="0" quotePrefix="0" xfId="1">
      <alignment vertical="center" wrapText="1"/>
    </xf>
    <xf numFmtId="0" fontId="14" fillId="4" borderId="18" applyAlignment="1" pivotButton="0" quotePrefix="0" xfId="1">
      <alignment vertical="center" wrapText="1"/>
    </xf>
    <xf numFmtId="0" fontId="14" fillId="4" borderId="16" applyAlignment="1" pivotButton="0" quotePrefix="0" xfId="1">
      <alignment vertical="center" wrapText="1"/>
    </xf>
    <xf numFmtId="0" fontId="3" fillId="4" borderId="7" applyAlignment="1" pivotButton="0" quotePrefix="0" xfId="1">
      <alignment vertical="center" wrapText="1"/>
    </xf>
    <xf numFmtId="0" fontId="3" fillId="4" borderId="8" applyAlignment="1" pivotButton="0" quotePrefix="0" xfId="1">
      <alignment vertical="center" wrapText="1"/>
    </xf>
    <xf numFmtId="164" fontId="5" fillId="5" borderId="8" applyAlignment="1" pivotButton="0" quotePrefix="0" xfId="1">
      <alignment horizontal="center" vertical="center" wrapText="1"/>
    </xf>
    <xf numFmtId="0" fontId="12" fillId="2" borderId="13" applyAlignment="1" pivotButton="0" quotePrefix="0" xfId="1">
      <alignment vertical="center"/>
    </xf>
    <xf numFmtId="0" fontId="12" fillId="2" borderId="14" applyAlignment="1" pivotButton="0" quotePrefix="0" xfId="1">
      <alignment vertical="center"/>
    </xf>
    <xf numFmtId="0" fontId="13" fillId="8" borderId="0" applyAlignment="1" pivotButton="0" quotePrefix="0" xfId="1">
      <alignment horizontal="left" vertical="center"/>
    </xf>
    <xf numFmtId="0" fontId="1" fillId="2" borderId="0" applyAlignment="1" pivotButton="0" quotePrefix="0" xfId="1">
      <alignment horizontal="center" vertical="center"/>
    </xf>
    <xf numFmtId="0" fontId="2" fillId="3" borderId="0" applyAlignment="1" pivotButton="0" quotePrefix="0" xfId="1">
      <alignment horizontal="center" vertical="center" wrapText="1"/>
    </xf>
    <xf numFmtId="0" fontId="4" fillId="4" borderId="2" applyAlignment="1" pivotButton="0" quotePrefix="0" xfId="1">
      <alignment vertical="center" wrapText="1"/>
    </xf>
    <xf numFmtId="0" fontId="4" fillId="4" borderId="3" applyAlignment="1" pivotButton="0" quotePrefix="0" xfId="1">
      <alignment vertical="center" wrapText="1"/>
    </xf>
    <xf numFmtId="0" fontId="3" fillId="4" borderId="1" applyAlignment="1" pivotButton="0" quotePrefix="0" xfId="1">
      <alignment vertical="center" wrapText="1"/>
    </xf>
    <xf numFmtId="0" fontId="3" fillId="4" borderId="2" applyAlignment="1" pivotButton="0" quotePrefix="0" xfId="1">
      <alignment vertical="center" wrapText="1"/>
    </xf>
    <xf numFmtId="0" fontId="3" fillId="4" borderId="4" applyAlignment="1" pivotButton="0" quotePrefix="0" xfId="1">
      <alignment vertical="center" wrapText="1"/>
    </xf>
    <xf numFmtId="0" fontId="3" fillId="4" borderId="5" applyAlignment="1" pivotButton="0" quotePrefix="0" xfId="1">
      <alignment vertical="center" wrapText="1"/>
    </xf>
    <xf numFmtId="0" fontId="4" fillId="4" borderId="5" applyAlignment="1" pivotButton="0" quotePrefix="0" xfId="1">
      <alignment vertical="center" wrapText="1"/>
    </xf>
    <xf numFmtId="0" fontId="0" fillId="0" borderId="1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7" pivotButton="0" quotePrefix="0" xfId="0"/>
    <xf numFmtId="164" fontId="5" fillId="5" borderId="8" applyAlignment="1" pivotButton="0" quotePrefix="0" xfId="1">
      <alignment horizontal="center" vertical="center" wrapText="1"/>
    </xf>
    <xf numFmtId="164" fontId="6" fillId="5" borderId="9" applyAlignment="1" pivotButton="0" quotePrefix="0" xfId="1">
      <alignment horizontal="right" vertical="center" wrapText="1"/>
    </xf>
    <xf numFmtId="164" fontId="9" fillId="9" borderId="11" applyAlignment="1" pivotButton="0" quotePrefix="0" xfId="1">
      <alignment horizontal="right" vertical="center" wrapText="1"/>
    </xf>
    <xf numFmtId="164" fontId="9" fillId="10" borderId="11" applyAlignment="1" pivotButton="0" quotePrefix="0" xfId="1">
      <alignment horizontal="right" vertical="center" wrapText="1"/>
    </xf>
    <xf numFmtId="164" fontId="9" fillId="9" borderId="12" applyAlignment="1" pivotButton="0" quotePrefix="0" xfId="1">
      <alignment horizontal="right" vertical="center" wrapText="1"/>
    </xf>
    <xf numFmtId="164" fontId="9" fillId="10" borderId="12" applyAlignment="1" pivotButton="0" quotePrefix="0" xfId="1">
      <alignment horizontal="right" vertical="center" wrapText="1"/>
    </xf>
    <xf numFmtId="0" fontId="0" fillId="0" borderId="14" pivotButton="0" quotePrefix="0" xfId="0"/>
    <xf numFmtId="164" fontId="12" fillId="2" borderId="15" applyAlignment="1" pivotButton="0" quotePrefix="0" xfId="1">
      <alignment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12" customWidth="1" min="2" max="2"/>
    <col width="28" customWidth="1" min="3" max="3"/>
    <col width="60" customWidth="1" min="4" max="4"/>
    <col width="10" customWidth="1" min="5" max="5"/>
    <col width="16" customWidth="1" min="6" max="7"/>
  </cols>
  <sheetData>
    <row r="1" ht="33.95" customHeight="1">
      <c r="A1" s="27" t="inlineStr">
        <is>
          <t>方案一｜川剧文创耳机 + 多国语言录播导览 H5</t>
        </is>
      </c>
    </row>
    <row r="2" ht="33.95" customHeight="1">
      <c r="A2" s="28" t="inlineStr">
        <is>
          <t>专属脸谱/川剧元素耳机，H5 点播预先翻译并录制的多国语音（覆盖东南亚重点语种）</t>
        </is>
      </c>
    </row>
    <row r="3" ht="32.1" customHeight="1">
      <c r="A3" s="31" t="inlineStr">
        <is>
          <t>方案定位</t>
        </is>
      </c>
      <c r="B3" s="36" t="n"/>
      <c r="C3" s="29" t="inlineStr">
        <is>
          <t>适合快速上线的基础导览；游客扫码选择语言和内容，手机播放并通过已配对蓝牙耳机收听。</t>
        </is>
      </c>
      <c r="D3" s="37" t="n"/>
      <c r="E3" s="37" t="n"/>
      <c r="F3" s="37" t="n"/>
      <c r="G3" s="36" t="n"/>
    </row>
    <row r="4" ht="32.1" customHeight="1">
      <c r="A4" s="33" t="inlineStr">
        <is>
          <t>建设周期</t>
        </is>
      </c>
      <c r="B4" s="38" t="n"/>
      <c r="C4" s="35" t="inlineStr">
        <is>
          <t>约 45–60 个工作日</t>
        </is>
      </c>
      <c r="D4" s="38" t="n"/>
      <c r="E4" s="34" t="inlineStr">
        <is>
          <t>首批硬件口径</t>
        </is>
      </c>
      <c r="F4" s="38" t="n"/>
      <c r="G4" s="1" t="inlineStr">
        <is>
          <t>50 套验证样机</t>
        </is>
      </c>
    </row>
    <row r="5" ht="32.1" customHeight="1">
      <c r="A5" s="21" t="inlineStr">
        <is>
          <t>含税总预算</t>
        </is>
      </c>
      <c r="B5" s="39" t="n"/>
      <c r="C5" s="40">
        <f>G20</f>
        <v/>
      </c>
      <c r="D5" s="39" t="n"/>
      <c r="E5" s="22" t="inlineStr">
        <is>
          <t>次年起基础运营预算/年</t>
        </is>
      </c>
      <c r="F5" s="39" t="n"/>
      <c r="G5" s="41" t="n">
        <v>13000</v>
      </c>
    </row>
    <row r="6" ht="16.5" customHeight="1">
      <c r="A6" s="13" t="n"/>
      <c r="B6" s="13" t="n"/>
      <c r="C6" s="13" t="n"/>
      <c r="D6" s="13" t="n"/>
      <c r="E6" s="13" t="n"/>
      <c r="F6" s="13" t="n"/>
      <c r="G6" s="13" t="n"/>
    </row>
    <row r="7" ht="36" customHeight="1">
      <c r="A7" s="3" t="inlineStr">
        <is>
          <t>序号</t>
        </is>
      </c>
      <c r="B7" s="3" t="inlineStr">
        <is>
          <t>成本类别</t>
        </is>
      </c>
      <c r="C7" s="3" t="inlineStr">
        <is>
          <t>软硬件/服务项目</t>
        </is>
      </c>
      <c r="D7" s="3" t="inlineStr">
        <is>
          <t>规格、范围与实现说明</t>
        </is>
      </c>
      <c r="E7" s="3" t="inlineStr">
        <is>
          <t>数量</t>
        </is>
      </c>
      <c r="F7" s="3" t="inlineStr">
        <is>
          <t>含税单价（元）</t>
        </is>
      </c>
      <c r="G7" s="3" t="inlineStr">
        <is>
          <t>含税金额（元）</t>
        </is>
      </c>
    </row>
    <row r="8" ht="42" customHeight="1">
      <c r="A8" s="4" t="n">
        <v>1</v>
      </c>
      <c r="B8" s="5" t="inlineStr">
        <is>
          <t>硬件</t>
        </is>
      </c>
      <c r="C8" s="6" t="inlineStr">
        <is>
          <t>文创耳机工业设计 ID / CMF</t>
        </is>
      </c>
      <c r="D8" s="6" t="inlineStr">
        <is>
          <t>川剧脸谱、变脸、戏服纹样与人体工学外观；含耳机及充电盒设计</t>
        </is>
      </c>
      <c r="E8" s="7" t="n">
        <v>1</v>
      </c>
      <c r="F8" s="42" t="n">
        <v>22000</v>
      </c>
      <c r="G8" s="43">
        <f>E8*F8</f>
        <v/>
      </c>
    </row>
    <row r="9" ht="42" customHeight="1">
      <c r="A9" s="8" t="n">
        <v>2</v>
      </c>
      <c r="B9" s="9" t="inlineStr">
        <is>
          <t>硬件</t>
        </is>
      </c>
      <c r="C9" s="10" t="inlineStr">
        <is>
          <t>结构、声学、电路与固件适配</t>
        </is>
      </c>
      <c r="D9" s="10" t="inlineStr">
        <is>
          <t>蓝牙 5.3/5.4、麦克风/扬声器、电源、按键与低功耗固件；采用成熟方案二次开发</t>
        </is>
      </c>
      <c r="E9" s="11" t="n">
        <v>1</v>
      </c>
      <c r="F9" s="44" t="n">
        <v>68000</v>
      </c>
      <c r="G9" s="45">
        <f>E9*F9</f>
        <v/>
      </c>
    </row>
    <row r="10" ht="42" customHeight="1">
      <c r="A10" s="8" t="n">
        <v>3</v>
      </c>
      <c r="B10" s="9" t="inlineStr">
        <is>
          <t>硬件</t>
        </is>
      </c>
      <c r="C10" s="10" t="inlineStr">
        <is>
          <t>耳机及充电盒精密模具</t>
        </is>
      </c>
      <c r="D10" s="10" t="inlineStr">
        <is>
          <t>专属外壳与充电盒注塑模具、T0/T1 试模及表面纹理调校</t>
        </is>
      </c>
      <c r="E10" s="11" t="n">
        <v>1</v>
      </c>
      <c r="F10" s="44" t="n">
        <v>55000</v>
      </c>
      <c r="G10" s="45">
        <f>E10*F10</f>
        <v/>
      </c>
    </row>
    <row r="11" ht="42" customHeight="1">
      <c r="A11" s="8" t="n">
        <v>4</v>
      </c>
      <c r="B11" s="9" t="inlineStr">
        <is>
          <t>硬件</t>
        </is>
      </c>
      <c r="C11" s="10" t="inlineStr">
        <is>
          <t>送检与认证预算</t>
        </is>
      </c>
      <c r="D11" s="10" t="inlineStr">
        <is>
          <t>SRRC/CE/IP 等按最终销售区域选做；本表按基础认证预算计入</t>
        </is>
      </c>
      <c r="E11" s="11" t="n">
        <v>1</v>
      </c>
      <c r="F11" s="44" t="n">
        <v>45000</v>
      </c>
      <c r="G11" s="45">
        <f>E11*F11</f>
        <v/>
      </c>
    </row>
    <row r="12" ht="42" customHeight="1">
      <c r="A12" s="8" t="n">
        <v>5</v>
      </c>
      <c r="B12" s="9" t="inlineStr">
        <is>
          <t>硬件</t>
        </is>
      </c>
      <c r="C12" s="10" t="inlineStr">
        <is>
          <t>首批验证样机</t>
        </is>
      </c>
      <c r="D12" s="10" t="inlineStr">
        <is>
          <t>50 套耳机、充电盒、脸谱彩绘、组装全检及文创包装</t>
        </is>
      </c>
      <c r="E12" s="11" t="n">
        <v>50</v>
      </c>
      <c r="F12" s="44" t="n">
        <v>800</v>
      </c>
      <c r="G12" s="45">
        <f>E12*F12</f>
        <v/>
      </c>
    </row>
    <row r="13" ht="42" customHeight="1">
      <c r="A13" s="8" t="n">
        <v>6</v>
      </c>
      <c r="B13" s="9" t="inlineStr">
        <is>
          <t>软件</t>
        </is>
      </c>
      <c r="C13" s="10" t="inlineStr">
        <is>
          <t>多语言录播导览 H5</t>
        </is>
      </c>
      <c r="D13" s="10" t="inlineStr">
        <is>
          <t>扫码访问、语言选择、内容列表、音频点播、同步字幕、收藏与基础统计</t>
        </is>
      </c>
      <c r="E13" s="11" t="n">
        <v>1</v>
      </c>
      <c r="F13" s="44" t="n">
        <v>28000</v>
      </c>
      <c r="G13" s="45">
        <f>E13*F13</f>
        <v/>
      </c>
    </row>
    <row r="14" ht="42" customHeight="1">
      <c r="A14" s="8" t="n">
        <v>7</v>
      </c>
      <c r="B14" s="9" t="inlineStr">
        <is>
          <t>内容</t>
        </is>
      </c>
      <c r="C14" s="10" t="inlineStr">
        <is>
          <t>导览脚本与内容编目</t>
        </is>
      </c>
      <c r="D14" s="10" t="inlineStr">
        <is>
          <t>默认 30 条内容、单条中文母稿不超过 3 分钟；含结构化编目与校对</t>
        </is>
      </c>
      <c r="E14" s="11" t="n">
        <v>1</v>
      </c>
      <c r="F14" s="44" t="n">
        <v>12000</v>
      </c>
      <c r="G14" s="45">
        <f>E14*F14</f>
        <v/>
      </c>
    </row>
    <row r="15" ht="42" customHeight="1">
      <c r="A15" s="8" t="n">
        <v>8</v>
      </c>
      <c r="B15" s="9" t="inlineStr">
        <is>
          <t>AI/API</t>
        </is>
      </c>
      <c r="C15" s="10" t="inlineStr">
        <is>
          <t>豆包翻译与多语 TTS 录制生产</t>
        </is>
      </c>
      <c r="D15" s="10" t="inlineStr">
        <is>
          <t>默认 12 种目标语言，含东南亚语种；批量生成、人工抽检、术语纠错与音频切分</t>
        </is>
      </c>
      <c r="E15" s="11" t="n">
        <v>1</v>
      </c>
      <c r="F15" s="44" t="n">
        <v>18000</v>
      </c>
      <c r="G15" s="45">
        <f>E15*F15</f>
        <v/>
      </c>
    </row>
    <row r="16" ht="42" customHeight="1">
      <c r="A16" s="8" t="n">
        <v>9</v>
      </c>
      <c r="B16" s="9" t="inlineStr">
        <is>
          <t>平台</t>
        </is>
      </c>
      <c r="C16" s="10" t="inlineStr">
        <is>
          <t>音频分发、二维码与轻量管理后台</t>
        </is>
      </c>
      <c r="D16" s="10" t="inlineStr">
        <is>
          <t>音频/字幕上传、内容上下架、二维码入口、访问统计与日志</t>
        </is>
      </c>
      <c r="E16" s="11" t="n">
        <v>1</v>
      </c>
      <c r="F16" s="44" t="n">
        <v>18000</v>
      </c>
      <c r="G16" s="45">
        <f>E16*F16</f>
        <v/>
      </c>
    </row>
    <row r="17" ht="42" customHeight="1">
      <c r="A17" s="8" t="n">
        <v>10</v>
      </c>
      <c r="B17" s="9" t="inlineStr">
        <is>
          <t>运营</t>
        </is>
      </c>
      <c r="C17" s="10" t="inlineStr">
        <is>
          <t>首年云主机、对象存储、CDN 与 SSL</t>
        </is>
      </c>
      <c r="D17" s="10" t="inlineStr">
        <is>
          <t>生产环境基础资源 12 个月；超出流量另行结算</t>
        </is>
      </c>
      <c r="E17" s="11" t="n">
        <v>1</v>
      </c>
      <c r="F17" s="44" t="n">
        <v>8000</v>
      </c>
      <c r="G17" s="45">
        <f>E17*F17</f>
        <v/>
      </c>
    </row>
    <row r="18" ht="42" customHeight="1">
      <c r="A18" s="8" t="n">
        <v>11</v>
      </c>
      <c r="B18" s="9" t="inlineStr">
        <is>
          <t>AI/API</t>
        </is>
      </c>
      <c r="C18" s="10" t="inlineStr">
        <is>
          <t>首年豆包 API 调用预算</t>
        </is>
      </c>
      <c r="D18" s="10" t="inlineStr">
        <is>
          <t>预录内容生成与少量改稿的预充值预算，最终按火山引擎账单据实结算</t>
        </is>
      </c>
      <c r="E18" s="11" t="n">
        <v>1</v>
      </c>
      <c r="F18" s="44" t="n">
        <v>5000</v>
      </c>
      <c r="G18" s="45">
        <f>E18*F18</f>
        <v/>
      </c>
    </row>
    <row r="19" ht="42" customHeight="1">
      <c r="A19" s="8" t="n">
        <v>12</v>
      </c>
      <c r="B19" s="9" t="inlineStr">
        <is>
          <t>服务</t>
        </is>
      </c>
      <c r="C19" s="10" t="inlineStr">
        <is>
          <t>上线部署、培训与 12 个月质保</t>
        </is>
      </c>
      <c r="D19" s="10" t="inlineStr">
        <is>
          <t>生产发布、现场/远程培训、软件缺陷修复与基础运维支持</t>
        </is>
      </c>
      <c r="E19" s="11" t="n">
        <v>1</v>
      </c>
      <c r="F19" s="44" t="n">
        <v>15000</v>
      </c>
      <c r="G19" s="45">
        <f>E19*F19</f>
        <v/>
      </c>
    </row>
    <row r="20" ht="33.95" customHeight="1">
      <c r="A20" s="24" t="inlineStr">
        <is>
          <t>本方案建设及首年落地综合预算（含税）</t>
        </is>
      </c>
      <c r="B20" s="46" t="n"/>
      <c r="C20" s="46" t="n"/>
      <c r="D20" s="46" t="n"/>
      <c r="E20" s="46" t="n"/>
      <c r="F20" s="46" t="n"/>
      <c r="G20" s="47">
        <f>SUM(G8:G19)</f>
        <v/>
      </c>
    </row>
    <row r="21" ht="16.5" customHeight="1">
      <c r="A21" s="13" t="n"/>
      <c r="B21" s="13" t="n"/>
      <c r="C21" s="13" t="n"/>
      <c r="D21" s="13" t="n"/>
      <c r="E21" s="13" t="n"/>
      <c r="F21" s="13" t="n"/>
      <c r="G21" s="13" t="n"/>
    </row>
    <row r="22" ht="27.95" customHeight="1">
      <c r="A22" s="26" t="inlineStr">
        <is>
          <t>实施范围、验收边界与商务说明</t>
        </is>
      </c>
    </row>
    <row r="23" ht="33.95" customHeight="1">
      <c r="A23" s="20" t="inlineStr">
        <is>
          <t>1．交付：50 套验证样机、H5 与后台源码/部署包、多语言音频与字幕文件、耳机工程资料及模具（以合同约定为准）。</t>
        </is>
      </c>
      <c r="B23" s="48" t="n"/>
      <c r="C23" s="48" t="n"/>
      <c r="D23" s="48" t="n"/>
      <c r="E23" s="48" t="n"/>
      <c r="F23" s="48" t="n"/>
      <c r="G23" s="48" t="n"/>
    </row>
    <row r="24" ht="33.95" customHeight="1">
      <c r="A24" s="18" t="inlineStr">
        <is>
          <t>2．语言基线：中、英、日、韩、泰、越、印尼、马来、缅甸、高棉、菲律宾、老挝等 12 种目标语言；具体 ASR/TTS 音色与语种须在签约前完成豆包能力 POC。</t>
        </is>
      </c>
      <c r="B24" s="49" t="n"/>
      <c r="C24" s="49" t="n"/>
      <c r="D24" s="49" t="n"/>
      <c r="E24" s="49" t="n"/>
      <c r="F24" s="49" t="n"/>
      <c r="G24" s="49" t="n"/>
    </row>
    <row r="25" ht="33.95" customHeight="1">
      <c r="A25" s="18" t="inlineStr">
        <is>
          <t>3．音频路径：耳机先由手机操作系统完成蓝牙配对；H5 使用手机当前音频输出播放。Web Bluetooth 不承担蓝牙音频流。</t>
        </is>
      </c>
      <c r="B25" s="49" t="n"/>
      <c r="C25" s="49" t="n"/>
      <c r="D25" s="49" t="n"/>
      <c r="E25" s="49" t="n"/>
      <c r="F25" s="49" t="n"/>
      <c r="G25" s="49" t="n"/>
    </row>
    <row r="26" ht="33.95" customHeight="1">
      <c r="A26" s="18" t="inlineStr">
        <is>
          <t>4．不含：超过 50 套的量产货款、场馆 Wi-Fi/弱电改造、内容版权与名人音色授权、海外认证增项。</t>
        </is>
      </c>
      <c r="B26" s="49" t="n"/>
      <c r="C26" s="49" t="n"/>
      <c r="D26" s="49" t="n"/>
      <c r="E26" s="49" t="n"/>
      <c r="F26" s="49" t="n"/>
      <c r="G26" s="49" t="n"/>
    </row>
    <row r="27" ht="33.95" customHeight="1">
      <c r="A27" s="18" t="inlineStr">
        <is>
          <t>商务建议：付款 40%（启动）/30%（中期联调）/20%（上线验收）/10%（质保期满）；报价有效期 60 天，正式合同以需求冻结清单为准。</t>
        </is>
      </c>
      <c r="B27" s="49" t="n"/>
      <c r="C27" s="49" t="n"/>
      <c r="D27" s="49" t="n"/>
      <c r="E27" s="49" t="n"/>
      <c r="F27" s="49" t="n"/>
      <c r="G27" s="49" t="n"/>
    </row>
    <row r="28" ht="33.95" customHeight="1">
      <c r="A28" s="18" t="inlineStr">
        <is>
          <t>豆包能力与计费参考：https://www.volcengine.com/products/Audio-editing-and-sound-processing ｜ https://www.volcengine.com/docs/82379/1544681?lang=zh</t>
        </is>
      </c>
      <c r="B28" s="49" t="n"/>
      <c r="C28" s="49" t="n"/>
      <c r="D28" s="49" t="n"/>
      <c r="E28" s="49" t="n"/>
      <c r="F28" s="49" t="n"/>
      <c r="G28" s="49" t="n"/>
    </row>
    <row r="29" ht="33.95" customHeight="1">
      <c r="A29" s="18" t="inlineStr">
        <is>
          <t>成本底稿：目录内既有《智能应用及专属蓝牙文创耳机开发报价单》《AI语音Agent伴游H5一页纸报价单》《实时翻译全栈研发与AI算力部署报价单》。</t>
        </is>
      </c>
      <c r="B29" s="49" t="n"/>
      <c r="C29" s="49" t="n"/>
      <c r="D29" s="49" t="n"/>
      <c r="E29" s="49" t="n"/>
      <c r="F29" s="49" t="n"/>
      <c r="G29" s="49" t="n"/>
    </row>
    <row r="30" ht="33.95" customHeight="1">
      <c r="A30" s="19" t="inlineStr">
        <is>
          <t>编制日期：2026-08-28　｜　金额单位：人民币元　｜　所有第三方云服务按实际账单结算，预付预算不足部分不包含在固定总价内。</t>
        </is>
      </c>
      <c r="B30" s="50" t="n"/>
      <c r="C30" s="50" t="n"/>
      <c r="D30" s="50" t="n"/>
      <c r="E30" s="50" t="n"/>
      <c r="F30" s="50" t="n"/>
      <c r="G30" s="50" t="n"/>
    </row>
  </sheetData>
  <mergeCells count="20">
    <mergeCell ref="A22:G22"/>
    <mergeCell ref="C5:D5"/>
    <mergeCell ref="E5:F5"/>
    <mergeCell ref="A29:G29"/>
    <mergeCell ref="A28:G28"/>
    <mergeCell ref="C4:D4"/>
    <mergeCell ref="E4:F4"/>
    <mergeCell ref="A30:G30"/>
    <mergeCell ref="A24:G24"/>
    <mergeCell ref="A20:F20"/>
    <mergeCell ref="A3:B3"/>
    <mergeCell ref="A1:G1"/>
    <mergeCell ref="A5:B5"/>
    <mergeCell ref="A25:G25"/>
    <mergeCell ref="A4:B4"/>
    <mergeCell ref="A27:G27"/>
    <mergeCell ref="A26:G26"/>
    <mergeCell ref="A2:G2"/>
    <mergeCell ref="C3:G3"/>
    <mergeCell ref="A23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M5" sqref="M5"/>
    </sheetView>
  </sheetViews>
  <sheetFormatPr baseColWidth="8" defaultRowHeight="14.25"/>
  <cols>
    <col width="7" customWidth="1" min="1" max="1"/>
    <col width="12" customWidth="1" min="2" max="2"/>
    <col width="28" customWidth="1" min="3" max="3"/>
    <col width="60" customWidth="1" min="4" max="4"/>
    <col width="10" customWidth="1" min="5" max="5"/>
    <col width="16" customWidth="1" min="6" max="7"/>
  </cols>
  <sheetData>
    <row r="1" ht="33.95" customHeight="1">
      <c r="A1" s="27" t="inlineStr">
        <is>
          <t>方案二｜录播导览 + 知识图谱/RAG Agent 伴游</t>
        </is>
      </c>
    </row>
    <row r="2" ht="33.95" customHeight="1">
      <c r="A2" s="28" t="inlineStr">
        <is>
          <t>在方案一基础上增加景点、川剧与卖场知识库，游客可围绕所在节点自由提问并获得互动解答</t>
        </is>
      </c>
    </row>
    <row r="3" ht="32.1" customHeight="1">
      <c r="A3" s="31" t="inlineStr">
        <is>
          <t>方案定位</t>
        </is>
      </c>
      <c r="B3" s="36" t="n"/>
      <c r="C3" s="29" t="inlineStr">
        <is>
          <t>适合川剧院、文旅景点和卖场联合运营；通过节点二维码/页面入口切换知识范围，Agent 提供可追溯问答。</t>
        </is>
      </c>
      <c r="D3" s="37" t="n"/>
      <c r="E3" s="37" t="n"/>
      <c r="F3" s="37" t="n"/>
      <c r="G3" s="36" t="n"/>
    </row>
    <row r="4" ht="32.1" customHeight="1">
      <c r="A4" s="33" t="inlineStr">
        <is>
          <t>建设周期</t>
        </is>
      </c>
      <c r="B4" s="38" t="n"/>
      <c r="C4" s="35" t="inlineStr">
        <is>
          <t>约 60–75 个工作日</t>
        </is>
      </c>
      <c r="D4" s="38" t="n"/>
      <c r="E4" s="34" t="inlineStr">
        <is>
          <t>首批硬件口径</t>
        </is>
      </c>
      <c r="F4" s="38" t="n"/>
      <c r="G4" s="1" t="inlineStr">
        <is>
          <t>50 套验证样机</t>
        </is>
      </c>
    </row>
    <row r="5" ht="32.1" customHeight="1">
      <c r="A5" s="21" t="inlineStr">
        <is>
          <t>含税总预算</t>
        </is>
      </c>
      <c r="B5" s="39" t="n"/>
      <c r="C5" s="40">
        <f>G24</f>
        <v/>
      </c>
      <c r="D5" s="39" t="n"/>
      <c r="E5" s="22" t="inlineStr">
        <is>
          <t>次年起基础运营预算/年</t>
        </is>
      </c>
      <c r="F5" s="39" t="n"/>
      <c r="G5" s="41" t="n">
        <v>27000</v>
      </c>
    </row>
    <row r="6" ht="16.5" customHeight="1">
      <c r="A6" s="13" t="n"/>
      <c r="B6" s="13" t="n"/>
      <c r="C6" s="13" t="n"/>
      <c r="D6" s="13" t="n"/>
      <c r="E6" s="13" t="n"/>
      <c r="F6" s="13" t="n"/>
      <c r="G6" s="13" t="n"/>
    </row>
    <row r="7" ht="36" customHeight="1">
      <c r="A7" s="3" t="inlineStr">
        <is>
          <t>序号</t>
        </is>
      </c>
      <c r="B7" s="3" t="inlineStr">
        <is>
          <t>成本类别</t>
        </is>
      </c>
      <c r="C7" s="3" t="inlineStr">
        <is>
          <t>软硬件/服务项目</t>
        </is>
      </c>
      <c r="D7" s="3" t="inlineStr">
        <is>
          <t>规格、范围与实现说明</t>
        </is>
      </c>
      <c r="E7" s="3" t="inlineStr">
        <is>
          <t>数量</t>
        </is>
      </c>
      <c r="F7" s="3" t="inlineStr">
        <is>
          <t>含税单价（元）</t>
        </is>
      </c>
      <c r="G7" s="3" t="inlineStr">
        <is>
          <t>含税金额（元）</t>
        </is>
      </c>
    </row>
    <row r="8" ht="42" customHeight="1">
      <c r="A8" s="4" t="n">
        <v>1</v>
      </c>
      <c r="B8" s="5" t="inlineStr">
        <is>
          <t>硬件</t>
        </is>
      </c>
      <c r="C8" s="6" t="inlineStr">
        <is>
          <t>文创耳机工业设计 ID / CMF</t>
        </is>
      </c>
      <c r="D8" s="6" t="inlineStr">
        <is>
          <t>川剧脸谱、变脸、戏服纹样与人体工学外观；含耳机及充电盒设计</t>
        </is>
      </c>
      <c r="E8" s="7" t="n">
        <v>1</v>
      </c>
      <c r="F8" s="42" t="n">
        <v>22000</v>
      </c>
      <c r="G8" s="43">
        <f>E8*F8</f>
        <v/>
      </c>
    </row>
    <row r="9" ht="42" customHeight="1">
      <c r="A9" s="8" t="n">
        <v>2</v>
      </c>
      <c r="B9" s="9" t="inlineStr">
        <is>
          <t>硬件</t>
        </is>
      </c>
      <c r="C9" s="10" t="inlineStr">
        <is>
          <t>结构、声学、电路与固件适配</t>
        </is>
      </c>
      <c r="D9" s="10" t="inlineStr">
        <is>
          <t>蓝牙 5.3/5.4、麦克风/扬声器、电源、按键与低功耗固件；成熟方案二次开发</t>
        </is>
      </c>
      <c r="E9" s="11" t="n">
        <v>1</v>
      </c>
      <c r="F9" s="44" t="n">
        <v>68000</v>
      </c>
      <c r="G9" s="45">
        <f>E9*F9</f>
        <v/>
      </c>
    </row>
    <row r="10" ht="42" customHeight="1">
      <c r="A10" s="8" t="n">
        <v>3</v>
      </c>
      <c r="B10" s="9" t="inlineStr">
        <is>
          <t>硬件</t>
        </is>
      </c>
      <c r="C10" s="10" t="inlineStr">
        <is>
          <t>耳机及充电盒精密模具</t>
        </is>
      </c>
      <c r="D10" s="10" t="inlineStr">
        <is>
          <t>专属外壳与充电盒注塑模具、T0/T1 试模及表面纹理调校</t>
        </is>
      </c>
      <c r="E10" s="11" t="n">
        <v>1</v>
      </c>
      <c r="F10" s="44" t="n">
        <v>55000</v>
      </c>
      <c r="G10" s="45">
        <f>E10*F10</f>
        <v/>
      </c>
    </row>
    <row r="11" ht="42" customHeight="1">
      <c r="A11" s="8" t="n">
        <v>4</v>
      </c>
      <c r="B11" s="9" t="inlineStr">
        <is>
          <t>硬件</t>
        </is>
      </c>
      <c r="C11" s="10" t="inlineStr">
        <is>
          <t>送检与认证预算</t>
        </is>
      </c>
      <c r="D11" s="10" t="inlineStr">
        <is>
          <t>SRRC/CE/IP 等按最终销售区域选做；本表按基础认证预算计入</t>
        </is>
      </c>
      <c r="E11" s="11" t="n">
        <v>1</v>
      </c>
      <c r="F11" s="44" t="n">
        <v>45000</v>
      </c>
      <c r="G11" s="45">
        <f>E11*F11</f>
        <v/>
      </c>
    </row>
    <row r="12" ht="42" customHeight="1">
      <c r="A12" s="8" t="n">
        <v>5</v>
      </c>
      <c r="B12" s="9" t="inlineStr">
        <is>
          <t>硬件</t>
        </is>
      </c>
      <c r="C12" s="10" t="inlineStr">
        <is>
          <t>首批验证样机</t>
        </is>
      </c>
      <c r="D12" s="10" t="inlineStr">
        <is>
          <t>50 套耳机、充电盒、脸谱彩绘、组装全检及文创包装</t>
        </is>
      </c>
      <c r="E12" s="11" t="n">
        <v>50</v>
      </c>
      <c r="F12" s="44" t="n">
        <v>800</v>
      </c>
      <c r="G12" s="45">
        <f>E12*F12</f>
        <v/>
      </c>
    </row>
    <row r="13" ht="42" customHeight="1">
      <c r="A13" s="8" t="n">
        <v>6</v>
      </c>
      <c r="B13" s="9" t="inlineStr">
        <is>
          <t>软件</t>
        </is>
      </c>
      <c r="C13" s="10" t="inlineStr">
        <is>
          <t>多语言录播导览 H5</t>
        </is>
      </c>
      <c r="D13" s="10" t="inlineStr">
        <is>
          <t>扫码访问、语言选择、内容点播、同步字幕与节点切换</t>
        </is>
      </c>
      <c r="E13" s="11" t="n">
        <v>1</v>
      </c>
      <c r="F13" s="44" t="n">
        <v>28000</v>
      </c>
      <c r="G13" s="45">
        <f>E13*F13</f>
        <v/>
      </c>
    </row>
    <row r="14" ht="42" customHeight="1">
      <c r="A14" s="8" t="n">
        <v>7</v>
      </c>
      <c r="B14" s="9" t="inlineStr">
        <is>
          <t>内容</t>
        </is>
      </c>
      <c r="C14" s="10" t="inlineStr">
        <is>
          <t>导览脚本与内容编目</t>
        </is>
      </c>
      <c r="D14" s="10" t="inlineStr">
        <is>
          <t>默认 30 条内容、单条中文母稿不超过 3 分钟</t>
        </is>
      </c>
      <c r="E14" s="11" t="n">
        <v>1</v>
      </c>
      <c r="F14" s="44" t="n">
        <v>12000</v>
      </c>
      <c r="G14" s="45">
        <f>E14*F14</f>
        <v/>
      </c>
    </row>
    <row r="15" ht="42" customHeight="1">
      <c r="A15" s="8" t="n">
        <v>8</v>
      </c>
      <c r="B15" s="9" t="inlineStr">
        <is>
          <t>AI/API</t>
        </is>
      </c>
      <c r="C15" s="10" t="inlineStr">
        <is>
          <t>豆包翻译与多语 TTS 录制生产</t>
        </is>
      </c>
      <c r="D15" s="10" t="inlineStr">
        <is>
          <t>默认 12 种目标语言；批量生成、人工抽检、术语纠错与音频切分</t>
        </is>
      </c>
      <c r="E15" s="11" t="n">
        <v>1</v>
      </c>
      <c r="F15" s="44" t="n">
        <v>18000</v>
      </c>
      <c r="G15" s="45">
        <f>E15*F15</f>
        <v/>
      </c>
    </row>
    <row r="16" ht="42" customHeight="1">
      <c r="A16" s="8" t="n">
        <v>9</v>
      </c>
      <c r="B16" s="9" t="inlineStr">
        <is>
          <t>Agent</t>
        </is>
      </c>
      <c r="C16" s="10" t="inlineStr">
        <is>
          <t>H5 Agent 伴游交互系统</t>
        </is>
      </c>
      <c r="D16" s="10" t="inlineStr">
        <is>
          <t>文本/语音提问、上下文对话、推荐追问、引用来源、风险回答降级</t>
        </is>
      </c>
      <c r="E16" s="11" t="n">
        <v>1</v>
      </c>
      <c r="F16" s="44" t="n">
        <v>32000</v>
      </c>
      <c r="G16" s="45">
        <f>E16*F16</f>
        <v/>
      </c>
    </row>
    <row r="17" ht="42" customHeight="1">
      <c r="A17" s="8" t="n">
        <v>10</v>
      </c>
      <c r="B17" s="9" t="inlineStr">
        <is>
          <t>知识</t>
        </is>
      </c>
      <c r="C17" s="10" t="inlineStr">
        <is>
          <t>知识图谱与 RAG 检索底座</t>
        </is>
      </c>
      <c r="D17" s="10" t="inlineStr">
        <is>
          <t>景点—人物—剧目—商品—服务关系建模、向量检索、混合召回与答案编排</t>
        </is>
      </c>
      <c r="E17" s="11" t="n">
        <v>1</v>
      </c>
      <c r="F17" s="44" t="n">
        <v>22000</v>
      </c>
      <c r="G17" s="45">
        <f>E17*F17</f>
        <v/>
      </c>
    </row>
    <row r="18" ht="42" customHeight="1">
      <c r="A18" s="8" t="n">
        <v>11</v>
      </c>
      <c r="B18" s="9" t="inlineStr">
        <is>
          <t>知识</t>
        </is>
      </c>
      <c r="C18" s="10" t="inlineStr">
        <is>
          <t>节点知识采集与内容加工</t>
        </is>
      </c>
      <c r="D18" s="10" t="inlineStr">
        <is>
          <t>默认 10 个景点/卖场节点、约 500 条知识单元；含清洗、切分、标签与验收问集</t>
        </is>
      </c>
      <c r="E18" s="11" t="n">
        <v>1</v>
      </c>
      <c r="F18" s="44" t="n">
        <v>30000</v>
      </c>
      <c r="G18" s="45">
        <f>E18*F18</f>
        <v/>
      </c>
    </row>
    <row r="19" ht="42" customHeight="1">
      <c r="A19" s="8" t="n">
        <v>12</v>
      </c>
      <c r="B19" s="9" t="inlineStr">
        <is>
          <t>AI/API</t>
        </is>
      </c>
      <c r="C19" s="10" t="inlineStr">
        <is>
          <t>豆包大模型接入与 Agent 编排</t>
        </is>
      </c>
      <c r="D19" s="10" t="inlineStr">
        <is>
          <t>模型路由、提示词、工具调用、内容安全、会话记忆和多语言输出</t>
        </is>
      </c>
      <c r="E19" s="11" t="n">
        <v>1</v>
      </c>
      <c r="F19" s="44" t="n">
        <v>18000</v>
      </c>
      <c r="G19" s="45">
        <f>E19*F19</f>
        <v/>
      </c>
    </row>
    <row r="20" ht="42" customHeight="1">
      <c r="A20" s="8" t="n">
        <v>13</v>
      </c>
      <c r="B20" s="9" t="inlineStr">
        <is>
          <t>平台</t>
        </is>
      </c>
      <c r="C20" s="10" t="inlineStr">
        <is>
          <t>后台、二维码与知识运营工具</t>
        </is>
      </c>
      <c r="D20" s="10" t="inlineStr">
        <is>
          <t>内容/知识增删改审、节点二维码、版本发布、访问与问答统计</t>
        </is>
      </c>
      <c r="E20" s="11" t="n">
        <v>1</v>
      </c>
      <c r="F20" s="44" t="n">
        <v>26000</v>
      </c>
      <c r="G20" s="45">
        <f>E20*F20</f>
        <v/>
      </c>
    </row>
    <row r="21" ht="42" customHeight="1">
      <c r="A21" s="8" t="n">
        <v>14</v>
      </c>
      <c r="B21" s="9" t="inlineStr">
        <is>
          <t>运营</t>
        </is>
      </c>
      <c r="C21" s="10" t="inlineStr">
        <is>
          <t>首年云主机、数据库、存储、CDN 与 SSL</t>
        </is>
      </c>
      <c r="D21" s="10" t="inlineStr">
        <is>
          <t>生产环境基础资源 12 个月；按试点并发配置</t>
        </is>
      </c>
      <c r="E21" s="11" t="n">
        <v>1</v>
      </c>
      <c r="F21" s="44" t="n">
        <v>12000</v>
      </c>
      <c r="G21" s="45">
        <f>E21*F21</f>
        <v/>
      </c>
    </row>
    <row r="22" ht="42" customHeight="1">
      <c r="A22" s="8" t="n">
        <v>15</v>
      </c>
      <c r="B22" s="9" t="inlineStr">
        <is>
          <t>AI/API</t>
        </is>
      </c>
      <c r="C22" s="10" t="inlineStr">
        <is>
          <t>首年豆包 API 调用预算</t>
        </is>
      </c>
      <c r="D22" s="10" t="inlineStr">
        <is>
          <t>LLM、翻译、TTS/ASR 的试点预充值预算，按真实调用量据实结算</t>
        </is>
      </c>
      <c r="E22" s="11" t="n">
        <v>1</v>
      </c>
      <c r="F22" s="44" t="n">
        <v>15000</v>
      </c>
      <c r="G22" s="45">
        <f>E22*F22</f>
        <v/>
      </c>
    </row>
    <row r="23" ht="42" customHeight="1">
      <c r="A23" s="8" t="n">
        <v>16</v>
      </c>
      <c r="B23" s="9" t="inlineStr">
        <is>
          <t>服务</t>
        </is>
      </c>
      <c r="C23" s="10" t="inlineStr">
        <is>
          <t>部署、验收问集、培训与 12 个月质保</t>
        </is>
      </c>
      <c r="D23" s="10" t="inlineStr">
        <is>
          <t>生产发布、知识库培训、验收测试、缺陷修复与基础运维</t>
        </is>
      </c>
      <c r="E23" s="11" t="n">
        <v>1</v>
      </c>
      <c r="F23" s="44" t="n">
        <v>18000</v>
      </c>
      <c r="G23" s="45">
        <f>E23*F23</f>
        <v/>
      </c>
    </row>
    <row r="24" ht="33.95" customHeight="1">
      <c r="A24" s="24" t="inlineStr">
        <is>
          <t>本方案建设及首年落地综合预算（含税）</t>
        </is>
      </c>
      <c r="B24" s="46" t="n"/>
      <c r="C24" s="46" t="n"/>
      <c r="D24" s="46" t="n"/>
      <c r="E24" s="46" t="n"/>
      <c r="F24" s="46" t="n"/>
      <c r="G24" s="47">
        <f>SUM(G8:G23)</f>
        <v/>
      </c>
    </row>
    <row r="25" ht="16.5" customHeight="1">
      <c r="A25" s="13" t="n"/>
      <c r="B25" s="13" t="n"/>
      <c r="C25" s="13" t="n"/>
      <c r="D25" s="13" t="n"/>
      <c r="E25" s="13" t="n"/>
      <c r="F25" s="13" t="n"/>
      <c r="G25" s="13" t="n"/>
    </row>
    <row r="26" ht="27.95" customHeight="1">
      <c r="A26" s="26" t="inlineStr">
        <is>
          <t>实施范围、验收边界与商务说明</t>
        </is>
      </c>
    </row>
    <row r="27" ht="33.95" customHeight="1">
      <c r="A27" s="20" t="inlineStr">
        <is>
          <t>1．交付：方案一全部交付物 + Agent 源码/部署包、知识图谱/RAG 数据、后台知识运营工具与验收问集。</t>
        </is>
      </c>
      <c r="B27" s="48" t="n"/>
      <c r="C27" s="48" t="n"/>
      <c r="D27" s="48" t="n"/>
      <c r="E27" s="48" t="n"/>
      <c r="F27" s="48" t="n"/>
      <c r="G27" s="48" t="n"/>
    </row>
    <row r="28" ht="33.95" customHeight="1">
      <c r="A28" s="18" t="inlineStr">
        <is>
          <t>2．容量假设：10 个节点、500 条知识单元、首年试点访问量；节点或知识量大幅增加时另行核算内容加工费。</t>
        </is>
      </c>
      <c r="B28" s="49" t="n"/>
      <c r="C28" s="49" t="n"/>
      <c r="D28" s="49" t="n"/>
      <c r="E28" s="49" t="n"/>
      <c r="F28" s="49" t="n"/>
      <c r="G28" s="49" t="n"/>
    </row>
    <row r="29" ht="33.95" customHeight="1">
      <c r="A29" s="18" t="inlineStr">
        <is>
          <t>3．回答边界：天气、票务、库存、价格等实时信息须有对应业务接口；未接接口时 Agent 只回答已审核知识。</t>
        </is>
      </c>
      <c r="B29" s="49" t="n"/>
      <c r="C29" s="49" t="n"/>
      <c r="D29" s="49" t="n"/>
      <c r="E29" s="49" t="n"/>
      <c r="F29" s="49" t="n"/>
      <c r="G29" s="49" t="n"/>
    </row>
    <row r="30" ht="33.95" customHeight="1">
      <c r="A30" s="18" t="inlineStr">
        <is>
          <t>4．不含：第三方票务/ERP/POS 接口费、超过 50 套量产、场馆网络改造、内容与音色授权。</t>
        </is>
      </c>
      <c r="B30" s="49" t="n"/>
      <c r="C30" s="49" t="n"/>
      <c r="D30" s="49" t="n"/>
      <c r="E30" s="49" t="n"/>
      <c r="F30" s="49" t="n"/>
      <c r="G30" s="49" t="n"/>
    </row>
    <row r="31" ht="33.95" customHeight="1">
      <c r="A31" s="18" t="inlineStr">
        <is>
          <t>商务建议：付款 40%（启动）/30%（中期联调）/20%（上线验收）/10%（质保期满）；报价有效期 60 天，正式合同以需求冻结清单为准。</t>
        </is>
      </c>
      <c r="B31" s="49" t="n"/>
      <c r="C31" s="49" t="n"/>
      <c r="D31" s="49" t="n"/>
      <c r="E31" s="49" t="n"/>
      <c r="F31" s="49" t="n"/>
      <c r="G31" s="49" t="n"/>
    </row>
    <row r="32" ht="33.95" customHeight="1">
      <c r="A32" s="18" t="inlineStr">
        <is>
          <t>豆包能力与计费参考：https://www.volcengine.com/products/Audio-editing-and-sound-processing ｜ https://www.volcengine.com/docs/82379/1544681?lang=zh</t>
        </is>
      </c>
      <c r="B32" s="49" t="n"/>
      <c r="C32" s="49" t="n"/>
      <c r="D32" s="49" t="n"/>
      <c r="E32" s="49" t="n"/>
      <c r="F32" s="49" t="n"/>
      <c r="G32" s="49" t="n"/>
    </row>
    <row r="33" ht="33.95" customHeight="1">
      <c r="A33" s="18" t="inlineStr">
        <is>
          <t>成本底稿：目录内既有《智能应用及专属蓝牙文创耳机开发报价单》《AI语音Agent伴游H5一页纸报价单》《实时翻译全栈研发与AI算力部署报价单》。</t>
        </is>
      </c>
      <c r="B33" s="49" t="n"/>
      <c r="C33" s="49" t="n"/>
      <c r="D33" s="49" t="n"/>
      <c r="E33" s="49" t="n"/>
      <c r="F33" s="49" t="n"/>
      <c r="G33" s="49" t="n"/>
    </row>
    <row r="34" ht="33.95" customHeight="1">
      <c r="A34" s="19" t="inlineStr">
        <is>
          <t>编制日期：2026-08-28　｜　金额单位：人民币元　｜　所有第三方云服务按实际账单结算，预付预算不足部分不包含在固定总价内。</t>
        </is>
      </c>
      <c r="B34" s="50" t="n"/>
      <c r="C34" s="50" t="n"/>
      <c r="D34" s="50" t="n"/>
      <c r="E34" s="50" t="n"/>
      <c r="F34" s="50" t="n"/>
      <c r="G34" s="50" t="n"/>
    </row>
  </sheetData>
  <mergeCells count="20">
    <mergeCell ref="A32:G32"/>
    <mergeCell ref="C5:D5"/>
    <mergeCell ref="E5:F5"/>
    <mergeCell ref="A29:G29"/>
    <mergeCell ref="A28:G28"/>
    <mergeCell ref="C4:D4"/>
    <mergeCell ref="E4:F4"/>
    <mergeCell ref="A31:G31"/>
    <mergeCell ref="A34:G34"/>
    <mergeCell ref="A30:G30"/>
    <mergeCell ref="A3:B3"/>
    <mergeCell ref="A1:G1"/>
    <mergeCell ref="A5:B5"/>
    <mergeCell ref="A4:B4"/>
    <mergeCell ref="A24:F24"/>
    <mergeCell ref="A27:G27"/>
    <mergeCell ref="A26:G26"/>
    <mergeCell ref="A2:G2"/>
    <mergeCell ref="A33:G33"/>
    <mergeCell ref="C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topLeftCell="A17" workbookViewId="0">
      <selection activeCell="A1" sqref="A1:G1"/>
    </sheetView>
  </sheetViews>
  <sheetFormatPr baseColWidth="8" defaultRowHeight="14.25"/>
  <cols>
    <col width="7" customWidth="1" min="1" max="1"/>
    <col width="12" customWidth="1" min="2" max="2"/>
    <col width="28" customWidth="1" min="3" max="3"/>
    <col width="60" customWidth="1" min="4" max="4"/>
    <col width="10" customWidth="1" min="5" max="5"/>
    <col width="16" customWidth="1" min="6" max="7"/>
  </cols>
  <sheetData>
    <row r="1" ht="33.95" customHeight="1">
      <c r="A1" s="27" t="inlineStr">
        <is>
          <t>方案三｜录播导览 + Agent 伴游 + 双端实时对话翻译</t>
        </is>
      </c>
    </row>
    <row r="2" ht="33.95" customHeight="1">
      <c r="A2" s="28" t="inlineStr">
        <is>
          <t>东南亚游客在手机 H5 说话，工作人员耳机收听译文；工作人员通过耳机麦克风说话，游客 H5 显示译文</t>
        </is>
      </c>
    </row>
    <row r="3" ht="32.1" customHeight="1">
      <c r="A3" s="31" t="inlineStr">
        <is>
          <t>方案定位</t>
        </is>
      </c>
      <c r="B3" s="36" t="n"/>
      <c r="C3" s="29" t="inlineStr">
        <is>
          <t>适合卖场、景点服务台和导游陪同。双方通过会话二维码进入双端 H5，采用豆包 ASR/翻译/TTS API 完成实时双向交流。</t>
        </is>
      </c>
      <c r="D3" s="37" t="n"/>
      <c r="E3" s="37" t="n"/>
      <c r="F3" s="37" t="n"/>
      <c r="G3" s="36" t="n"/>
    </row>
    <row r="4" ht="32.1" customHeight="1">
      <c r="A4" s="33" t="inlineStr">
        <is>
          <t>建设周期</t>
        </is>
      </c>
      <c r="B4" s="38" t="n"/>
      <c r="C4" s="35" t="inlineStr">
        <is>
          <t>约 75–90 个工作日</t>
        </is>
      </c>
      <c r="D4" s="38" t="n"/>
      <c r="E4" s="34" t="inlineStr">
        <is>
          <t>首批硬件口径</t>
        </is>
      </c>
      <c r="F4" s="38" t="n"/>
      <c r="G4" s="1" t="inlineStr">
        <is>
          <t>50 套验证样机</t>
        </is>
      </c>
    </row>
    <row r="5" ht="32.1" customHeight="1">
      <c r="A5" s="21" t="inlineStr">
        <is>
          <t>含税总预算</t>
        </is>
      </c>
      <c r="B5" s="39" t="n"/>
      <c r="C5" s="40">
        <f>G30</f>
        <v/>
      </c>
      <c r="D5" s="39" t="n"/>
      <c r="E5" s="22" t="inlineStr">
        <is>
          <t>次年起基础运营预算/年</t>
        </is>
      </c>
      <c r="F5" s="39" t="n"/>
      <c r="G5" s="41" t="n">
        <v>48000</v>
      </c>
    </row>
    <row r="6" ht="16.5" customHeight="1">
      <c r="A6" s="13" t="n"/>
      <c r="B6" s="13" t="n"/>
      <c r="C6" s="13" t="n"/>
      <c r="D6" s="13" t="n"/>
      <c r="E6" s="13" t="n"/>
      <c r="F6" s="13" t="n"/>
      <c r="G6" s="13" t="n"/>
    </row>
    <row r="7" ht="36" customHeight="1">
      <c r="A7" s="3" t="inlineStr">
        <is>
          <t>序号</t>
        </is>
      </c>
      <c r="B7" s="3" t="inlineStr">
        <is>
          <t>成本类别</t>
        </is>
      </c>
      <c r="C7" s="3" t="inlineStr">
        <is>
          <t>软硬件/服务项目</t>
        </is>
      </c>
      <c r="D7" s="3" t="inlineStr">
        <is>
          <t>规格、范围与实现说明</t>
        </is>
      </c>
      <c r="E7" s="3" t="inlineStr">
        <is>
          <t>数量</t>
        </is>
      </c>
      <c r="F7" s="3" t="inlineStr">
        <is>
          <t>含税单价（元）</t>
        </is>
      </c>
      <c r="G7" s="3" t="inlineStr">
        <is>
          <t>含税金额（元）</t>
        </is>
      </c>
    </row>
    <row r="8" ht="42" customHeight="1">
      <c r="A8" s="4" t="n">
        <v>1</v>
      </c>
      <c r="B8" s="5" t="inlineStr">
        <is>
          <t>硬件</t>
        </is>
      </c>
      <c r="C8" s="6" t="inlineStr">
        <is>
          <t>文创耳机工业设计 ID / CMF</t>
        </is>
      </c>
      <c r="D8" s="6" t="inlineStr">
        <is>
          <t>川剧脸谱、变脸、戏服纹样与人体工学外观；含耳机及充电盒设计</t>
        </is>
      </c>
      <c r="E8" s="7" t="n">
        <v>1</v>
      </c>
      <c r="F8" s="42" t="n">
        <v>22000</v>
      </c>
      <c r="G8" s="43">
        <f>E8*F8</f>
        <v/>
      </c>
    </row>
    <row r="9" ht="42" customHeight="1">
      <c r="A9" s="8" t="n">
        <v>2</v>
      </c>
      <c r="B9" s="9" t="inlineStr">
        <is>
          <t>硬件</t>
        </is>
      </c>
      <c r="C9" s="10" t="inlineStr">
        <is>
          <t>结构、声学、电路与固件适配</t>
        </is>
      </c>
      <c r="D9" s="10" t="inlineStr">
        <is>
          <t>蓝牙 5.3/5.4、优先使用耳机麦克风、回声控制、电源与低功耗固件</t>
        </is>
      </c>
      <c r="E9" s="11" t="n">
        <v>1</v>
      </c>
      <c r="F9" s="44" t="n">
        <v>68000</v>
      </c>
      <c r="G9" s="45">
        <f>E9*F9</f>
        <v/>
      </c>
    </row>
    <row r="10" ht="42" customHeight="1">
      <c r="A10" s="8" t="n">
        <v>3</v>
      </c>
      <c r="B10" s="9" t="inlineStr">
        <is>
          <t>硬件</t>
        </is>
      </c>
      <c r="C10" s="10" t="inlineStr">
        <is>
          <t>耳机及充电盒精密模具</t>
        </is>
      </c>
      <c r="D10" s="10" t="inlineStr">
        <is>
          <t>专属外壳与充电盒注塑模具、T0/T1 试模及表面纹理调校</t>
        </is>
      </c>
      <c r="E10" s="11" t="n">
        <v>1</v>
      </c>
      <c r="F10" s="44" t="n">
        <v>55000</v>
      </c>
      <c r="G10" s="45">
        <f>E10*F10</f>
        <v/>
      </c>
    </row>
    <row r="11" ht="42" customHeight="1">
      <c r="A11" s="8" t="n">
        <v>4</v>
      </c>
      <c r="B11" s="9" t="inlineStr">
        <is>
          <t>硬件</t>
        </is>
      </c>
      <c r="C11" s="10" t="inlineStr">
        <is>
          <t>送检与认证预算</t>
        </is>
      </c>
      <c r="D11" s="10" t="inlineStr">
        <is>
          <t>SRRC/CE/IP 等按最终销售区域选做；本表按基础认证预算计入</t>
        </is>
      </c>
      <c r="E11" s="11" t="n">
        <v>1</v>
      </c>
      <c r="F11" s="44" t="n">
        <v>45000</v>
      </c>
      <c r="G11" s="45">
        <f>E11*F11</f>
        <v/>
      </c>
    </row>
    <row r="12" ht="42" customHeight="1">
      <c r="A12" s="8" t="n">
        <v>5</v>
      </c>
      <c r="B12" s="9" t="inlineStr">
        <is>
          <t>硬件</t>
        </is>
      </c>
      <c r="C12" s="10" t="inlineStr">
        <is>
          <t>首批验证样机</t>
        </is>
      </c>
      <c r="D12" s="10" t="inlineStr">
        <is>
          <t>50 套耳机、充电盒、脸谱彩绘、组装全检及文创包装</t>
        </is>
      </c>
      <c r="E12" s="11" t="n">
        <v>50</v>
      </c>
      <c r="F12" s="44" t="n">
        <v>800</v>
      </c>
      <c r="G12" s="45">
        <f>E12*F12</f>
        <v/>
      </c>
    </row>
    <row r="13" ht="42" customHeight="1">
      <c r="A13" s="8" t="n">
        <v>6</v>
      </c>
      <c r="B13" s="9" t="inlineStr">
        <is>
          <t>软件</t>
        </is>
      </c>
      <c r="C13" s="10" t="inlineStr">
        <is>
          <t>多语言录播导览 H5</t>
        </is>
      </c>
      <c r="D13" s="10" t="inlineStr">
        <is>
          <t>语言选择、内容点播、同步字幕与节点切换</t>
        </is>
      </c>
      <c r="E13" s="11" t="n">
        <v>1</v>
      </c>
      <c r="F13" s="44" t="n">
        <v>28000</v>
      </c>
      <c r="G13" s="45">
        <f>E13*F13</f>
        <v/>
      </c>
    </row>
    <row r="14" ht="42" customHeight="1">
      <c r="A14" s="8" t="n">
        <v>7</v>
      </c>
      <c r="B14" s="9" t="inlineStr">
        <is>
          <t>内容</t>
        </is>
      </c>
      <c r="C14" s="10" t="inlineStr">
        <is>
          <t>导览脚本与内容编目</t>
        </is>
      </c>
      <c r="D14" s="10" t="inlineStr">
        <is>
          <t>默认 30 条内容、单条中文母稿不超过 3 分钟</t>
        </is>
      </c>
      <c r="E14" s="11" t="n">
        <v>1</v>
      </c>
      <c r="F14" s="44" t="n">
        <v>12000</v>
      </c>
      <c r="G14" s="45">
        <f>E14*F14</f>
        <v/>
      </c>
    </row>
    <row r="15" ht="42" customHeight="1">
      <c r="A15" s="8" t="n">
        <v>8</v>
      </c>
      <c r="B15" s="9" t="inlineStr">
        <is>
          <t>AI/API</t>
        </is>
      </c>
      <c r="C15" s="10" t="inlineStr">
        <is>
          <t>豆包翻译与多语 TTS 录制生产</t>
        </is>
      </c>
      <c r="D15" s="10" t="inlineStr">
        <is>
          <t>默认 12 种目标语言；批量生成、人工抽检、术语纠错与音频切分</t>
        </is>
      </c>
      <c r="E15" s="11" t="n">
        <v>1</v>
      </c>
      <c r="F15" s="44" t="n">
        <v>18000</v>
      </c>
      <c r="G15" s="45">
        <f>E15*F15</f>
        <v/>
      </c>
    </row>
    <row r="16" ht="42" customHeight="1">
      <c r="A16" s="8" t="n">
        <v>9</v>
      </c>
      <c r="B16" s="9" t="inlineStr">
        <is>
          <t>Agent</t>
        </is>
      </c>
      <c r="C16" s="10" t="inlineStr">
        <is>
          <t>H5 Agent 伴游交互系统</t>
        </is>
      </c>
      <c r="D16" s="10" t="inlineStr">
        <is>
          <t>多语言文本/语音问答、上下文、引用来源与安全降级</t>
        </is>
      </c>
      <c r="E16" s="11" t="n">
        <v>1</v>
      </c>
      <c r="F16" s="44" t="n">
        <v>32000</v>
      </c>
      <c r="G16" s="45">
        <f>E16*F16</f>
        <v/>
      </c>
    </row>
    <row r="17" ht="42" customHeight="1">
      <c r="A17" s="8" t="n">
        <v>10</v>
      </c>
      <c r="B17" s="9" t="inlineStr">
        <is>
          <t>知识</t>
        </is>
      </c>
      <c r="C17" s="10" t="inlineStr">
        <is>
          <t>知识图谱与 RAG 检索底座</t>
        </is>
      </c>
      <c r="D17" s="10" t="inlineStr">
        <is>
          <t>实体关系、向量检索、混合召回、答案编排与审核流程</t>
        </is>
      </c>
      <c r="E17" s="11" t="n">
        <v>1</v>
      </c>
      <c r="F17" s="44" t="n">
        <v>22000</v>
      </c>
      <c r="G17" s="45">
        <f>E17*F17</f>
        <v/>
      </c>
    </row>
    <row r="18" ht="42" customHeight="1">
      <c r="A18" s="8" t="n">
        <v>11</v>
      </c>
      <c r="B18" s="9" t="inlineStr">
        <is>
          <t>知识</t>
        </is>
      </c>
      <c r="C18" s="10" t="inlineStr">
        <is>
          <t>节点知识采集与内容加工</t>
        </is>
      </c>
      <c r="D18" s="10" t="inlineStr">
        <is>
          <t>默认 10 个节点、约 500 条知识单元及验收问集</t>
        </is>
      </c>
      <c r="E18" s="11" t="n">
        <v>1</v>
      </c>
      <c r="F18" s="44" t="n">
        <v>30000</v>
      </c>
      <c r="G18" s="45">
        <f>E18*F18</f>
        <v/>
      </c>
    </row>
    <row r="19" ht="42" customHeight="1">
      <c r="A19" s="8" t="n">
        <v>12</v>
      </c>
      <c r="B19" s="9" t="inlineStr">
        <is>
          <t>AI/API</t>
        </is>
      </c>
      <c r="C19" s="10" t="inlineStr">
        <is>
          <t>豆包大模型接入与 Agent 编排</t>
        </is>
      </c>
      <c r="D19" s="10" t="inlineStr">
        <is>
          <t>模型路由、提示词、工具调用、内容安全、会话记忆和多语言输出</t>
        </is>
      </c>
      <c r="E19" s="11" t="n">
        <v>1</v>
      </c>
      <c r="F19" s="44" t="n">
        <v>18000</v>
      </c>
      <c r="G19" s="45">
        <f>E19*F19</f>
        <v/>
      </c>
    </row>
    <row r="20" ht="42" customHeight="1">
      <c r="A20" s="8" t="n">
        <v>13</v>
      </c>
      <c r="B20" s="9" t="inlineStr">
        <is>
          <t>平台</t>
        </is>
      </c>
      <c r="C20" s="10" t="inlineStr">
        <is>
          <t>后台、二维码与知识运营工具</t>
        </is>
      </c>
      <c r="D20" s="10" t="inlineStr">
        <is>
          <t>内容/知识管理、设备与会话二维码、统计、日志与权限</t>
        </is>
      </c>
      <c r="E20" s="11" t="n">
        <v>1</v>
      </c>
      <c r="F20" s="44" t="n">
        <v>26000</v>
      </c>
      <c r="G20" s="45">
        <f>E20*F20</f>
        <v/>
      </c>
    </row>
    <row r="21" ht="42" customHeight="1">
      <c r="A21" s="8" t="n">
        <v>14</v>
      </c>
      <c r="B21" s="9" t="inlineStr">
        <is>
          <t>实时翻译</t>
        </is>
      </c>
      <c r="C21" s="10" t="inlineStr">
        <is>
          <t>游客端 + 工作人员端双 H5</t>
        </is>
      </c>
      <c r="D21" s="10" t="inlineStr">
        <is>
          <t>会话建立、语言选择、按住说话、状态提示、断线重连与无障碍布局</t>
        </is>
      </c>
      <c r="E21" s="11" t="n">
        <v>1</v>
      </c>
      <c r="F21" s="44" t="n">
        <v>28000</v>
      </c>
      <c r="G21" s="45">
        <f>E21*F21</f>
        <v/>
      </c>
    </row>
    <row r="22" ht="42" customHeight="1">
      <c r="A22" s="8" t="n">
        <v>15</v>
      </c>
      <c r="B22" s="9" t="inlineStr">
        <is>
          <t>实时翻译</t>
        </is>
      </c>
      <c r="C22" s="10" t="inlineStr">
        <is>
          <t>WebRTC/流式音频网关</t>
        </is>
      </c>
      <c r="D22" s="10" t="inlineStr">
        <is>
          <t>双端低延迟音频采集与转发、Opus 分片、会话鉴权、拥塞与弱网处理</t>
        </is>
      </c>
      <c r="E22" s="11" t="n">
        <v>1</v>
      </c>
      <c r="F22" s="44" t="n">
        <v>38000</v>
      </c>
      <c r="G22" s="45">
        <f>E22*F22</f>
        <v/>
      </c>
    </row>
    <row r="23" ht="42" customHeight="1">
      <c r="A23" s="8" t="n">
        <v>16</v>
      </c>
      <c r="B23" s="9" t="inlineStr">
        <is>
          <t>AI/API</t>
        </is>
      </c>
      <c r="C23" s="10" t="inlineStr">
        <is>
          <t>豆包流式 ASR/翻译/TTS 编排</t>
        </is>
      </c>
      <c r="D23" s="10" t="inlineStr">
        <is>
          <t>流式识别、分句、翻译、语音合成、术语表、失败重试与用量计量</t>
        </is>
      </c>
      <c r="E23" s="11" t="n">
        <v>1</v>
      </c>
      <c r="F23" s="44" t="n">
        <v>30000</v>
      </c>
      <c r="G23" s="45">
        <f>E23*F23</f>
        <v/>
      </c>
    </row>
    <row r="24" ht="42" customHeight="1">
      <c r="A24" s="8" t="n">
        <v>17</v>
      </c>
      <c r="B24" s="9" t="inlineStr">
        <is>
          <t>实时翻译</t>
        </is>
      </c>
      <c r="C24" s="10" t="inlineStr">
        <is>
          <t>耳机麦克风与系统音频路由适配</t>
        </is>
      </c>
      <c r="D24" s="10" t="inlineStr">
        <is>
          <t>工作人员手机选择蓝牙耳机输入/输出，回声与抢话控制，机型兼容测试</t>
        </is>
      </c>
      <c r="E24" s="11" t="n">
        <v>1</v>
      </c>
      <c r="F24" s="44" t="n">
        <v>20000</v>
      </c>
      <c r="G24" s="45">
        <f>E24*F24</f>
        <v/>
      </c>
    </row>
    <row r="25" ht="42" customHeight="1">
      <c r="A25" s="8" t="n">
        <v>18</v>
      </c>
      <c r="B25" s="9" t="inlineStr">
        <is>
          <t>实时翻译</t>
        </is>
      </c>
      <c r="C25" s="10" t="inlineStr">
        <is>
          <t>双端字幕、会话二维码与记录</t>
        </is>
      </c>
      <c r="D25" s="10" t="inlineStr">
        <is>
          <t>游客端显示工作人员译文；工作人员端显示原文/译文，可配置会话记录留存</t>
        </is>
      </c>
      <c r="E25" s="11" t="n">
        <v>1</v>
      </c>
      <c r="F25" s="44" t="n">
        <v>16000</v>
      </c>
      <c r="G25" s="45">
        <f>E25*F25</f>
        <v/>
      </c>
    </row>
    <row r="26" ht="42" customHeight="1">
      <c r="A26" s="8" t="n">
        <v>19</v>
      </c>
      <c r="B26" s="9" t="inlineStr">
        <is>
          <t>安全/测试</t>
        </is>
      </c>
      <c r="C26" s="10" t="inlineStr">
        <is>
          <t>隐私合规、压力与弱网测试</t>
        </is>
      </c>
      <c r="D26" s="10" t="inlineStr">
        <is>
          <t>麦克风授权提示、脱敏日志、并发/时延/丢包测试和验收报告</t>
        </is>
      </c>
      <c r="E26" s="11" t="n">
        <v>1</v>
      </c>
      <c r="F26" s="44" t="n">
        <v>18000</v>
      </c>
      <c r="G26" s="45">
        <f>E26*F26</f>
        <v/>
      </c>
    </row>
    <row r="27" ht="42" customHeight="1">
      <c r="A27" s="8" t="n">
        <v>20</v>
      </c>
      <c r="B27" s="9" t="inlineStr">
        <is>
          <t>运营</t>
        </is>
      </c>
      <c r="C27" s="10" t="inlineStr">
        <is>
          <t>首年云资源与日志监控</t>
        </is>
      </c>
      <c r="D27" s="10" t="inlineStr">
        <is>
          <t>应用、数据库、对象存储、音频网关、CDN、SSL 与监控 12 个月</t>
        </is>
      </c>
      <c r="E27" s="11" t="n">
        <v>1</v>
      </c>
      <c r="F27" s="44" t="n">
        <v>18000</v>
      </c>
      <c r="G27" s="45">
        <f>E27*F27</f>
        <v/>
      </c>
    </row>
    <row r="28" ht="42" customHeight="1">
      <c r="A28" s="8" t="n">
        <v>21</v>
      </c>
      <c r="B28" s="9" t="inlineStr">
        <is>
          <t>AI/API</t>
        </is>
      </c>
      <c r="C28" s="10" t="inlineStr">
        <is>
          <t>首年豆包 API 调用预算</t>
        </is>
      </c>
      <c r="D28" s="10" t="inlineStr">
        <is>
          <t>ASR、翻译/LLM、TTS 的试点预充值；用量超出后按火山引擎账单结算</t>
        </is>
      </c>
      <c r="E28" s="11" t="n">
        <v>1</v>
      </c>
      <c r="F28" s="44" t="n">
        <v>30000</v>
      </c>
      <c r="G28" s="45">
        <f>E28*F28</f>
        <v/>
      </c>
    </row>
    <row r="29" ht="42" customHeight="1">
      <c r="A29" s="8" t="n">
        <v>22</v>
      </c>
      <c r="B29" s="9" t="inlineStr">
        <is>
          <t>服务</t>
        </is>
      </c>
      <c r="C29" s="10" t="inlineStr">
        <is>
          <t>部署、现场联调、培训与 12 个月质保</t>
        </is>
      </c>
      <c r="D29" s="10" t="inlineStr">
        <is>
          <t>代表机型联调、验收脚本、操作培训、缺陷修复与基础运维</t>
        </is>
      </c>
      <c r="E29" s="11" t="n">
        <v>1</v>
      </c>
      <c r="F29" s="44" t="n">
        <v>22000</v>
      </c>
      <c r="G29" s="45">
        <f>E29*F29</f>
        <v/>
      </c>
    </row>
    <row r="30" ht="33.95" customHeight="1">
      <c r="A30" s="24" t="inlineStr">
        <is>
          <t>本方案建设及首年落地综合预算（含税）</t>
        </is>
      </c>
      <c r="B30" s="46" t="n"/>
      <c r="C30" s="46" t="n"/>
      <c r="D30" s="46" t="n"/>
      <c r="E30" s="46" t="n"/>
      <c r="F30" s="46" t="n"/>
      <c r="G30" s="47">
        <f>SUM(G8:G29)</f>
        <v/>
      </c>
    </row>
    <row r="31" ht="16.5" customHeight="1">
      <c r="A31" s="13" t="n"/>
      <c r="B31" s="13" t="n"/>
      <c r="C31" s="13" t="n"/>
      <c r="D31" s="13" t="n"/>
      <c r="E31" s="13" t="n"/>
      <c r="F31" s="13" t="n"/>
      <c r="G31" s="13" t="n"/>
    </row>
    <row r="32" ht="27.95" customHeight="1">
      <c r="A32" s="26" t="inlineStr">
        <is>
          <t>实施范围、验收边界与商务说明</t>
        </is>
      </c>
    </row>
    <row r="33" ht="33.95" customHeight="1">
      <c r="A33" s="20" t="inlineStr">
        <is>
          <t>1．关键链路：游客手机 H5 采集游客语音 → 云端识别/翻译 → 工作人员手机播放译文至已配对耳机；反向由耳机麦克风采集 → 游客 H5 显示译文。</t>
        </is>
      </c>
      <c r="B33" s="48" t="n"/>
      <c r="C33" s="48" t="n"/>
      <c r="D33" s="48" t="n"/>
      <c r="E33" s="48" t="n"/>
      <c r="F33" s="48" t="n"/>
      <c r="G33" s="48" t="n"/>
    </row>
    <row r="34" ht="33.95" customHeight="1">
      <c r="A34" s="18" t="inlineStr">
        <is>
          <t>2．浏览器/机型限制：H5 不能绕过系统蓝牙配对，也不能保证所有手机都强制选中耳机麦克风；签约前须用目标 Android/iOS 机型完成 POC。</t>
        </is>
      </c>
      <c r="B34" s="49" t="n"/>
      <c r="C34" s="49" t="n"/>
      <c r="D34" s="49" t="n"/>
      <c r="E34" s="49" t="n"/>
      <c r="F34" s="49" t="n"/>
      <c r="G34" s="49" t="n"/>
    </row>
    <row r="35" ht="33.95" customHeight="1">
      <c r="A35" s="18" t="inlineStr">
        <is>
          <t>3．性能目标：良好 4G/5G/Wi-Fi 下单句译文目标 1–2.5 秒可感知返回；最终以豆包 API、网络和目标机型实测验收。</t>
        </is>
      </c>
      <c r="B35" s="49" t="n"/>
      <c r="C35" s="49" t="n"/>
      <c r="D35" s="49" t="n"/>
      <c r="E35" s="49" t="n"/>
      <c r="F35" s="49" t="n"/>
      <c r="G35" s="49" t="n"/>
    </row>
    <row r="36" ht="33.95" customHeight="1">
      <c r="A36" s="18" t="inlineStr">
        <is>
          <t>4．不含：短信/实名服务、专线与场馆 Wi-Fi 改造、超过 50 套量产、外部业务系统接口费。</t>
        </is>
      </c>
      <c r="B36" s="49" t="n"/>
      <c r="C36" s="49" t="n"/>
      <c r="D36" s="49" t="n"/>
      <c r="E36" s="49" t="n"/>
      <c r="F36" s="49" t="n"/>
      <c r="G36" s="49" t="n"/>
    </row>
    <row r="37" ht="33.95" customHeight="1">
      <c r="A37" s="18" t="inlineStr">
        <is>
          <t>商务建议：付款 40%（启动）/30%（中期联调）/20%（上线验收）/10%（质保期满）；报价有效期 60 天，正式合同以需求冻结清单为准。</t>
        </is>
      </c>
      <c r="B37" s="49" t="n"/>
      <c r="C37" s="49" t="n"/>
      <c r="D37" s="49" t="n"/>
      <c r="E37" s="49" t="n"/>
      <c r="F37" s="49" t="n"/>
      <c r="G37" s="49" t="n"/>
    </row>
    <row r="38" ht="33.95" customHeight="1">
      <c r="A38" s="18" t="inlineStr">
        <is>
          <t>豆包能力与计费参考：https://www.volcengine.com/products/Audio-editing-and-sound-processing ｜ https://www.volcengine.com/docs/82379/1544681?lang=zh</t>
        </is>
      </c>
      <c r="B38" s="49" t="n"/>
      <c r="C38" s="49" t="n"/>
      <c r="D38" s="49" t="n"/>
      <c r="E38" s="49" t="n"/>
      <c r="F38" s="49" t="n"/>
      <c r="G38" s="49" t="n"/>
    </row>
    <row r="39" ht="33.95" customHeight="1">
      <c r="A39" s="18" t="inlineStr">
        <is>
          <t>成本底稿：目录内既有《智能应用及专属蓝牙文创耳机开发报价单》《AI语音Agent伴游H5一页纸报价单》《实时翻译全栈研发与AI算力部署报价单》。</t>
        </is>
      </c>
      <c r="B39" s="49" t="n"/>
      <c r="C39" s="49" t="n"/>
      <c r="D39" s="49" t="n"/>
      <c r="E39" s="49" t="n"/>
      <c r="F39" s="49" t="n"/>
      <c r="G39" s="49" t="n"/>
    </row>
    <row r="40" ht="33.95" customHeight="1">
      <c r="A40" s="19" t="inlineStr">
        <is>
          <t>编制日期：2026-08-28　｜　金额单位：人民币元　｜　所有第三方云服务按实际账单结算，预付预算不足部分不包含在固定总价内。</t>
        </is>
      </c>
      <c r="B40" s="50" t="n"/>
      <c r="C40" s="50" t="n"/>
      <c r="D40" s="50" t="n"/>
      <c r="E40" s="50" t="n"/>
      <c r="F40" s="50" t="n"/>
      <c r="G40" s="50" t="n"/>
    </row>
  </sheetData>
  <mergeCells count="20">
    <mergeCell ref="A32:G32"/>
    <mergeCell ref="C5:D5"/>
    <mergeCell ref="A35:G35"/>
    <mergeCell ref="E5:F5"/>
    <mergeCell ref="A38:G38"/>
    <mergeCell ref="C4:D4"/>
    <mergeCell ref="E4:F4"/>
    <mergeCell ref="A40:G40"/>
    <mergeCell ref="A39:G39"/>
    <mergeCell ref="A34:G34"/>
    <mergeCell ref="A3:B3"/>
    <mergeCell ref="A36:G36"/>
    <mergeCell ref="A1:G1"/>
    <mergeCell ref="A5:B5"/>
    <mergeCell ref="A30:F30"/>
    <mergeCell ref="A37:G37"/>
    <mergeCell ref="A4:B4"/>
    <mergeCell ref="A2:G2"/>
    <mergeCell ref="A33:G33"/>
    <mergeCell ref="C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tabSelected="1" topLeftCell="A13" workbookViewId="0">
      <selection activeCell="J31" sqref="J31"/>
    </sheetView>
  </sheetViews>
  <sheetFormatPr baseColWidth="8" defaultRowHeight="14.25"/>
  <cols>
    <col width="7" customWidth="1" min="1" max="1"/>
    <col width="12" customWidth="1" min="2" max="2"/>
    <col width="28" customWidth="1" min="3" max="3"/>
    <col width="60" customWidth="1" min="4" max="4"/>
    <col width="10" customWidth="1" min="5" max="5"/>
    <col width="16" customWidth="1" min="6" max="7"/>
  </cols>
  <sheetData>
    <row r="1" ht="33.95" customHeight="1">
      <c r="A1" s="27" t="inlineStr">
        <is>
          <t>方案四｜完整功能 + 云端自建开源语音/翻译模型</t>
        </is>
      </c>
    </row>
    <row r="2" ht="33.95" customHeight="1">
      <c r="A2" s="28" t="inlineStr">
        <is>
          <t>完成录播导览、知识 Agent 与双端实时对话翻译；核心 ASR/翻译/LLM/TTS 部署在自有 GPU 服务器</t>
        </is>
      </c>
    </row>
    <row r="3" ht="32.1" customHeight="1">
      <c r="A3" s="31" t="inlineStr">
        <is>
          <t>方案定位</t>
        </is>
      </c>
      <c r="B3" s="36" t="n"/>
      <c r="C3" s="29" t="inlineStr">
        <is>
          <t>适合数据自主、长期用量较大或不希望核心语音依赖第三方 API 的场景；仍采用 H5 双端交互和工作人员蓝牙耳机。</t>
        </is>
      </c>
      <c r="D3" s="37" t="n"/>
      <c r="E3" s="37" t="n"/>
      <c r="F3" s="37" t="n"/>
      <c r="G3" s="36" t="n"/>
    </row>
    <row r="4" ht="32.1" customHeight="1">
      <c r="A4" s="33" t="inlineStr">
        <is>
          <t>建设周期</t>
        </is>
      </c>
      <c r="B4" s="38" t="n"/>
      <c r="C4" s="35" t="inlineStr">
        <is>
          <t>约 90–120 个工作日</t>
        </is>
      </c>
      <c r="D4" s="38" t="n"/>
      <c r="E4" s="34" t="inlineStr">
        <is>
          <t>首批硬件口径</t>
        </is>
      </c>
      <c r="F4" s="38" t="n"/>
      <c r="G4" s="1" t="inlineStr">
        <is>
          <t>50 套验证样机</t>
        </is>
      </c>
    </row>
    <row r="5" ht="32.1" customHeight="1">
      <c r="A5" s="21" t="inlineStr">
        <is>
          <t>含税总预算</t>
        </is>
      </c>
      <c r="B5" s="39" t="n"/>
      <c r="C5" s="40">
        <f>G35</f>
        <v/>
      </c>
      <c r="D5" s="39" t="n"/>
      <c r="E5" s="22" t="inlineStr">
        <is>
          <t>次年起基础运营预算/年</t>
        </is>
      </c>
      <c r="F5" s="39" t="n"/>
      <c r="G5" s="41" t="n">
        <v>38000</v>
      </c>
    </row>
    <row r="6" ht="16.5" customHeight="1">
      <c r="A6" s="13" t="n"/>
      <c r="B6" s="13" t="n"/>
      <c r="C6" s="13" t="n"/>
      <c r="D6" s="13" t="n"/>
      <c r="E6" s="13" t="n"/>
      <c r="F6" s="13" t="n"/>
      <c r="G6" s="13" t="n"/>
    </row>
    <row r="7" ht="36" customHeight="1">
      <c r="A7" s="3" t="inlineStr">
        <is>
          <t>序号</t>
        </is>
      </c>
      <c r="B7" s="3" t="inlineStr">
        <is>
          <t>成本类别</t>
        </is>
      </c>
      <c r="C7" s="3" t="inlineStr">
        <is>
          <t>软硬件/服务项目</t>
        </is>
      </c>
      <c r="D7" s="3" t="inlineStr">
        <is>
          <t>规格、范围与实现说明</t>
        </is>
      </c>
      <c r="E7" s="3" t="inlineStr">
        <is>
          <t>数量</t>
        </is>
      </c>
      <c r="F7" s="3" t="inlineStr">
        <is>
          <t>含税单价（元）</t>
        </is>
      </c>
      <c r="G7" s="3" t="inlineStr">
        <is>
          <t>含税金额（元）</t>
        </is>
      </c>
    </row>
    <row r="8" ht="42" customHeight="1">
      <c r="A8" s="4" t="n">
        <v>1</v>
      </c>
      <c r="B8" s="5" t="inlineStr">
        <is>
          <t>硬件</t>
        </is>
      </c>
      <c r="C8" s="6" t="inlineStr">
        <is>
          <t>文创耳机工业设计 ID / CMF</t>
        </is>
      </c>
      <c r="D8" s="6" t="inlineStr">
        <is>
          <t>川剧脸谱、变脸、戏服纹样与人体工学外观；含耳机及充电盒设计</t>
        </is>
      </c>
      <c r="E8" s="7" t="n">
        <v>1</v>
      </c>
      <c r="F8" s="42" t="n">
        <v>22000</v>
      </c>
      <c r="G8" s="43">
        <f>E8*F8</f>
        <v/>
      </c>
    </row>
    <row r="9" ht="42" customHeight="1">
      <c r="A9" s="8" t="n">
        <v>2</v>
      </c>
      <c r="B9" s="9" t="inlineStr">
        <is>
          <t>硬件</t>
        </is>
      </c>
      <c r="C9" s="10" t="inlineStr">
        <is>
          <t>结构、声学、电路与固件适配</t>
        </is>
      </c>
      <c r="D9" s="10" t="inlineStr">
        <is>
          <t>蓝牙 5.3/5.4、优先使用耳机麦克风、回声控制、电源与低功耗固件</t>
        </is>
      </c>
      <c r="E9" s="11" t="n">
        <v>1</v>
      </c>
      <c r="F9" s="44" t="n">
        <v>68000</v>
      </c>
      <c r="G9" s="45">
        <f>E9*F9</f>
        <v/>
      </c>
    </row>
    <row r="10" ht="42" customHeight="1">
      <c r="A10" s="8" t="n">
        <v>3</v>
      </c>
      <c r="B10" s="9" t="inlineStr">
        <is>
          <t>硬件</t>
        </is>
      </c>
      <c r="C10" s="10" t="inlineStr">
        <is>
          <t>耳机及充电盒精密模具</t>
        </is>
      </c>
      <c r="D10" s="10" t="inlineStr">
        <is>
          <t>专属外壳与充电盒注塑模具、T0/T1 试模及表面纹理调校</t>
        </is>
      </c>
      <c r="E10" s="11" t="n">
        <v>1</v>
      </c>
      <c r="F10" s="44" t="n">
        <v>55000</v>
      </c>
      <c r="G10" s="45">
        <f>E10*F10</f>
        <v/>
      </c>
    </row>
    <row r="11" ht="42" customHeight="1">
      <c r="A11" s="8" t="n">
        <v>4</v>
      </c>
      <c r="B11" s="9" t="inlineStr">
        <is>
          <t>硬件</t>
        </is>
      </c>
      <c r="C11" s="10" t="inlineStr">
        <is>
          <t>送检与认证预算</t>
        </is>
      </c>
      <c r="D11" s="10" t="inlineStr">
        <is>
          <t>SRRC/CE/IP 等按最终销售区域选做；本表按基础认证预算计入</t>
        </is>
      </c>
      <c r="E11" s="11" t="n">
        <v>1</v>
      </c>
      <c r="F11" s="44" t="n">
        <v>45000</v>
      </c>
      <c r="G11" s="45">
        <f>E11*F11</f>
        <v/>
      </c>
    </row>
    <row r="12" ht="42" customHeight="1">
      <c r="A12" s="8" t="n">
        <v>5</v>
      </c>
      <c r="B12" s="9" t="inlineStr">
        <is>
          <t>硬件</t>
        </is>
      </c>
      <c r="C12" s="10" t="inlineStr">
        <is>
          <t>舞台收音mic</t>
        </is>
      </c>
      <c r="D12" s="10" t="inlineStr">
        <is>
          <t>高采样智能环境降噪</t>
        </is>
      </c>
      <c r="E12" s="11" t="n">
        <v>1</v>
      </c>
      <c r="F12" s="44" t="n">
        <v>3500</v>
      </c>
      <c r="G12" s="45">
        <f>E12*F12</f>
        <v/>
      </c>
    </row>
    <row r="13" ht="42" customHeight="1">
      <c r="A13" s="8" t="n">
        <v>6</v>
      </c>
      <c r="B13" s="9" t="inlineStr">
        <is>
          <t>硬件</t>
        </is>
      </c>
      <c r="C13" s="10" t="inlineStr">
        <is>
          <t>首批验证样机</t>
        </is>
      </c>
      <c r="D13" s="10" t="inlineStr">
        <is>
          <t>50 套耳机、充电盒、脸谱彩绘、组装全检及文创包装</t>
        </is>
      </c>
      <c r="E13" s="11" t="n">
        <v>50</v>
      </c>
      <c r="F13" s="44" t="n">
        <v>800</v>
      </c>
      <c r="G13" s="45">
        <f>E13*F13</f>
        <v/>
      </c>
    </row>
    <row r="14" ht="42" customHeight="1">
      <c r="A14" s="8" t="n">
        <v>7</v>
      </c>
      <c r="B14" s="9" t="inlineStr">
        <is>
          <t>软件</t>
        </is>
      </c>
      <c r="C14" s="10" t="inlineStr">
        <is>
          <t>多语言录播导览 H5</t>
        </is>
      </c>
      <c r="D14" s="10" t="inlineStr">
        <is>
          <t>语言选择、内容点播、同步字幕与节点切换</t>
        </is>
      </c>
      <c r="E14" s="11" t="n">
        <v>1</v>
      </c>
      <c r="F14" s="44" t="n">
        <v>28000</v>
      </c>
      <c r="G14" s="45">
        <f>E14*F14</f>
        <v/>
      </c>
    </row>
    <row r="15" ht="42" customHeight="1">
      <c r="A15" s="8" t="n">
        <v>8</v>
      </c>
      <c r="B15" s="9" t="inlineStr">
        <is>
          <t>内容</t>
        </is>
      </c>
      <c r="C15" s="10" t="inlineStr">
        <is>
          <t>导览脚本与内容编目</t>
        </is>
      </c>
      <c r="D15" s="10" t="inlineStr">
        <is>
          <t>默认 30 条内容、单条中文母稿不超过 3 分钟</t>
        </is>
      </c>
      <c r="E15" s="11" t="n">
        <v>1</v>
      </c>
      <c r="F15" s="44" t="n">
        <v>12000</v>
      </c>
      <c r="G15" s="45">
        <f>E15*F15</f>
        <v/>
      </c>
    </row>
    <row r="16" ht="42" customHeight="1">
      <c r="A16" s="8" t="n">
        <v>9</v>
      </c>
      <c r="B16" s="9" t="inlineStr">
        <is>
          <t>内容</t>
        </is>
      </c>
      <c r="C16" s="10" t="inlineStr">
        <is>
          <t>多语言录音生产与人工质检</t>
        </is>
      </c>
      <c r="D16" s="10" t="inlineStr">
        <is>
          <t>默认 12 种目标语言；开源翻译/TTS 批量生成、术语纠错、母语抽检与音频切分</t>
        </is>
      </c>
      <c r="E16" s="11" t="n">
        <v>1</v>
      </c>
      <c r="F16" s="44" t="n">
        <v>18000</v>
      </c>
      <c r="G16" s="45">
        <f>E16*F16</f>
        <v/>
      </c>
    </row>
    <row r="17" ht="42" customHeight="1">
      <c r="A17" s="8" t="n">
        <v>10</v>
      </c>
      <c r="B17" s="9" t="inlineStr">
        <is>
          <t>Agent</t>
        </is>
      </c>
      <c r="C17" s="10" t="inlineStr">
        <is>
          <t>H5 Agent 伴游交互系统</t>
        </is>
      </c>
      <c r="D17" s="10" t="inlineStr">
        <is>
          <t>多语言文本/语音问答、上下文、引用来源与安全降级</t>
        </is>
      </c>
      <c r="E17" s="11" t="n">
        <v>1</v>
      </c>
      <c r="F17" s="44" t="n">
        <v>32000</v>
      </c>
      <c r="G17" s="45">
        <f>E17*F17</f>
        <v/>
      </c>
    </row>
    <row r="18" ht="42" customHeight="1">
      <c r="A18" s="8" t="n">
        <v>11</v>
      </c>
      <c r="B18" s="9" t="inlineStr">
        <is>
          <t>知识</t>
        </is>
      </c>
      <c r="C18" s="10" t="inlineStr">
        <is>
          <t>知识图谱与 RAG 检索底座</t>
        </is>
      </c>
      <c r="D18" s="10" t="inlineStr">
        <is>
          <t>实体关系、向量检索、混合召回、答案编排与审核流程</t>
        </is>
      </c>
      <c r="E18" s="11" t="n">
        <v>1</v>
      </c>
      <c r="F18" s="44" t="n">
        <v>22000</v>
      </c>
      <c r="G18" s="45">
        <f>E18*F18</f>
        <v/>
      </c>
    </row>
    <row r="19" ht="42" customHeight="1">
      <c r="A19" s="8" t="n">
        <v>12</v>
      </c>
      <c r="B19" s="9" t="inlineStr">
        <is>
          <t>知识</t>
        </is>
      </c>
      <c r="C19" s="10" t="inlineStr">
        <is>
          <t>节点知识采集与内容加工</t>
        </is>
      </c>
      <c r="D19" s="10" t="inlineStr">
        <is>
          <t>默认 10 个节点、约 500 条知识单元及验收问集</t>
        </is>
      </c>
      <c r="E19" s="11" t="n">
        <v>1</v>
      </c>
      <c r="F19" s="44" t="n">
        <v>30000</v>
      </c>
      <c r="G19" s="45">
        <f>E19*F19</f>
        <v/>
      </c>
    </row>
    <row r="20" ht="42" customHeight="1">
      <c r="A20" s="8" t="n">
        <v>13</v>
      </c>
      <c r="B20" s="9" t="inlineStr">
        <is>
          <t>平台</t>
        </is>
      </c>
      <c r="C20" s="10" t="inlineStr">
        <is>
          <t>后台、二维码与知识运营工具</t>
        </is>
      </c>
      <c r="D20" s="10" t="inlineStr">
        <is>
          <t>内容/知识管理、设备与会话二维码、统计、日志与权限</t>
        </is>
      </c>
      <c r="E20" s="11" t="n">
        <v>1</v>
      </c>
      <c r="F20" s="44" t="n">
        <v>26000</v>
      </c>
      <c r="G20" s="45">
        <f>E20*F20</f>
        <v/>
      </c>
    </row>
    <row r="21" ht="42" customHeight="1">
      <c r="A21" s="8" t="n">
        <v>14</v>
      </c>
      <c r="B21" s="9" t="inlineStr">
        <is>
          <t>实时翻译</t>
        </is>
      </c>
      <c r="C21" s="10" t="inlineStr">
        <is>
          <t>游客端 + 工作人员端双 H5</t>
        </is>
      </c>
      <c r="D21" s="10" t="inlineStr">
        <is>
          <t>会话建立、语言选择、按住说话、状态提示、断线重连与无障碍布局</t>
        </is>
      </c>
      <c r="E21" s="11" t="n">
        <v>1</v>
      </c>
      <c r="F21" s="44" t="n">
        <v>28000</v>
      </c>
      <c r="G21" s="45">
        <f>E21*F21</f>
        <v/>
      </c>
    </row>
    <row r="22" ht="42" customHeight="1">
      <c r="A22" s="8" t="n">
        <v>15</v>
      </c>
      <c r="B22" s="9" t="inlineStr">
        <is>
          <t>实时翻译</t>
        </is>
      </c>
      <c r="C22" s="10" t="inlineStr">
        <is>
          <t>WebRTC/流式音频网关</t>
        </is>
      </c>
      <c r="D22" s="10" t="inlineStr">
        <is>
          <t>低延迟音频采集与转发、Opus 分片、会话鉴权、拥塞与弱网处理</t>
        </is>
      </c>
      <c r="E22" s="11" t="n">
        <v>1</v>
      </c>
      <c r="F22" s="44" t="n">
        <v>38000</v>
      </c>
      <c r="G22" s="45">
        <f>E22*F22</f>
        <v/>
      </c>
    </row>
    <row r="23" ht="42" customHeight="1">
      <c r="A23" s="8" t="n">
        <v>16</v>
      </c>
      <c r="B23" s="9" t="inlineStr">
        <is>
          <t>实时翻译</t>
        </is>
      </c>
      <c r="C23" s="10" t="inlineStr">
        <is>
          <t>耳机麦克风与系统音频路由适配</t>
        </is>
      </c>
      <c r="D23" s="10" t="inlineStr">
        <is>
          <t>工作人员手机选择蓝牙耳机输入/输出，回声与抢话控制，代表机型测试</t>
        </is>
      </c>
      <c r="E23" s="11" t="n">
        <v>1</v>
      </c>
      <c r="F23" s="44" t="n">
        <v>20000</v>
      </c>
      <c r="G23" s="45">
        <f>E23*F23</f>
        <v/>
      </c>
    </row>
    <row r="24" ht="42" customHeight="1">
      <c r="A24" s="8" t="n">
        <v>17</v>
      </c>
      <c r="B24" s="9" t="inlineStr">
        <is>
          <t>实时翻译</t>
        </is>
      </c>
      <c r="C24" s="10" t="inlineStr">
        <is>
          <t>双端字幕、会话二维码与记录</t>
        </is>
      </c>
      <c r="D24" s="10" t="inlineStr">
        <is>
          <t>双端原文/译文显示、会话记录留存策略与导出</t>
        </is>
      </c>
      <c r="E24" s="11" t="n">
        <v>1</v>
      </c>
      <c r="F24" s="44" t="n">
        <v>16000</v>
      </c>
      <c r="G24" s="45">
        <f>E24*F24</f>
        <v/>
      </c>
    </row>
    <row r="25" ht="42" customHeight="1">
      <c r="A25" s="8" t="n">
        <v>18</v>
      </c>
      <c r="B25" s="9" t="inlineStr">
        <is>
          <t>安全/测试</t>
        </is>
      </c>
      <c r="C25" s="10" t="inlineStr">
        <is>
          <t>隐私合规、压力与弱网测试</t>
        </is>
      </c>
      <c r="D25" s="10" t="inlineStr">
        <is>
          <t>麦克风授权、脱敏日志、并发/时延/丢包测试和验收报告</t>
        </is>
      </c>
      <c r="E25" s="11" t="n">
        <v>1</v>
      </c>
      <c r="F25" s="44" t="n">
        <v>18000</v>
      </c>
      <c r="G25" s="45">
        <f>E25*F25</f>
        <v/>
      </c>
    </row>
    <row r="26" ht="42" customHeight="1">
      <c r="A26" s="8" t="n">
        <v>19</v>
      </c>
      <c r="B26" s="9" t="inlineStr">
        <is>
          <t>开源AI</t>
        </is>
      </c>
      <c r="C26" s="10" t="inlineStr">
        <is>
          <t>流式多语种 ASR 模型工程化</t>
        </is>
      </c>
      <c r="D26" s="10" t="inlineStr">
        <is>
          <t>SenseVoice/Faster-Whisper 等模型选型、服务化、热词与东南亚语种评测</t>
        </is>
      </c>
      <c r="E26" s="11" t="n">
        <v>1</v>
      </c>
      <c r="F26" s="44" t="n">
        <v>28000</v>
      </c>
      <c r="G26" s="45">
        <f>E26*F26</f>
        <v/>
      </c>
    </row>
    <row r="27" ht="42" customHeight="1">
      <c r="A27" s="8" t="n">
        <v>20</v>
      </c>
      <c r="B27" s="9" t="inlineStr">
        <is>
          <t>开源AI</t>
        </is>
      </c>
      <c r="C27" s="10" t="inlineStr">
        <is>
          <t>翻译/LLM 推理与 Agent 编排</t>
        </is>
      </c>
      <c r="D27" s="10" t="inlineStr">
        <is>
          <t>Qwen/NLLB 等模型量化、翻译路由、RAG、术语约束与内容安全</t>
        </is>
      </c>
      <c r="E27" s="11" t="n">
        <v>1</v>
      </c>
      <c r="F27" s="44" t="n">
        <v>35000</v>
      </c>
      <c r="G27" s="45">
        <f>E27*F27</f>
        <v/>
      </c>
    </row>
    <row r="28" ht="42" customHeight="1">
      <c r="A28" s="8" t="n">
        <v>21</v>
      </c>
      <c r="B28" s="9" t="inlineStr">
        <is>
          <t>开源AI</t>
        </is>
      </c>
      <c r="C28" s="10" t="inlineStr">
        <is>
          <t>多语种流式 TTS 工程化</t>
        </is>
      </c>
      <c r="D28" s="10" t="inlineStr">
        <is>
          <t>CosyVoice/F5-TTS 等部署、音色管理、分块合成与发音词典</t>
        </is>
      </c>
      <c r="E28" s="11" t="n">
        <v>1</v>
      </c>
      <c r="F28" s="44" t="n">
        <v>32000</v>
      </c>
      <c r="G28" s="45">
        <f>E28*F28</f>
        <v/>
      </c>
    </row>
    <row r="29" ht="42" customHeight="1">
      <c r="A29" s="8" t="n">
        <v>22</v>
      </c>
      <c r="B29" s="9" t="inlineStr">
        <is>
          <t>开源AI</t>
        </is>
      </c>
      <c r="C29" s="10" t="inlineStr">
        <is>
          <t>川剧/文旅/卖场领域调优</t>
        </is>
      </c>
      <c r="D29" s="10" t="inlineStr">
        <is>
          <t>术语集、评测集、LoRA/提示词优化、低质量语种降级策略</t>
        </is>
      </c>
      <c r="E29" s="11" t="n">
        <v>1</v>
      </c>
      <c r="F29" s="44" t="n">
        <v>22000</v>
      </c>
      <c r="G29" s="45">
        <f>E29*F29</f>
        <v/>
      </c>
    </row>
    <row r="30" ht="42" customHeight="1">
      <c r="A30" s="8" t="n">
        <v>23</v>
      </c>
      <c r="B30" s="9" t="inlineStr">
        <is>
          <t>算力</t>
        </is>
      </c>
      <c r="C30" s="10" t="inlineStr">
        <is>
          <t>4U GPU 推理服务器主机</t>
        </is>
      </c>
      <c r="D30" s="10" t="inlineStr">
        <is>
          <t>双路服务器、512GB ECC、企业级 NVMe、冗余电源及机架配件</t>
        </is>
      </c>
      <c r="E30" s="11" t="n">
        <v>1</v>
      </c>
      <c r="F30" s="44" t="n">
        <v>250000</v>
      </c>
      <c r="G30" s="45">
        <f>E30*F30</f>
        <v/>
      </c>
    </row>
    <row r="31" ht="42" customHeight="1">
      <c r="A31" s="8" t="n">
        <v>24</v>
      </c>
      <c r="B31" s="9" t="inlineStr">
        <is>
          <t>算力</t>
        </is>
      </c>
      <c r="C31" s="10" t="inlineStr">
        <is>
          <t>专业 GPU 加速卡</t>
        </is>
      </c>
      <c r="D31" s="10" t="inlineStr">
        <is>
          <t>2 张 24GB–48GB 推理卡；最终型号按采购时供货与压测确认</t>
        </is>
      </c>
      <c r="E31" s="11" t="n">
        <v>2</v>
      </c>
      <c r="F31" s="44" t="n">
        <v>45600</v>
      </c>
      <c r="G31" s="45">
        <f>E31*F31</f>
        <v/>
      </c>
    </row>
    <row r="32" ht="42" customHeight="1">
      <c r="A32" s="8" t="n">
        <v>25</v>
      </c>
      <c r="B32" s="9" t="inlineStr">
        <is>
          <t>算力</t>
        </is>
      </c>
      <c r="C32" s="10" t="inlineStr">
        <is>
          <t>容器编排、推理调度与监控</t>
        </is>
      </c>
      <c r="D32" s="10" t="inlineStr">
        <is>
          <t>Docker/K8s、vLLM/Triton、动态批处理、指标监控、备份与压力测试</t>
        </is>
      </c>
      <c r="E32" s="11" t="n">
        <v>1</v>
      </c>
      <c r="F32" s="44" t="n">
        <v>18000</v>
      </c>
      <c r="G32" s="45">
        <f>E32*F32</f>
        <v/>
      </c>
    </row>
    <row r="33" ht="42" customHeight="1">
      <c r="A33" s="8" t="n">
        <v>26</v>
      </c>
      <c r="B33" s="9" t="inlineStr">
        <is>
          <t>运营</t>
        </is>
      </c>
      <c r="C33" s="10" t="inlineStr">
        <is>
          <t>首年机房/公网/备份与电力预算</t>
        </is>
      </c>
      <c r="D33" s="10" t="inlineStr">
        <is>
          <t>自有机房或云托管基础预算；具体依带宽、电价和服务等级调整</t>
        </is>
      </c>
      <c r="E33" s="11" t="n">
        <v>1</v>
      </c>
      <c r="F33" s="44" t="n">
        <v>20000</v>
      </c>
      <c r="G33" s="45">
        <f>E33*F33</f>
        <v/>
      </c>
    </row>
    <row r="34" ht="42" customHeight="1">
      <c r="A34" s="8" t="n">
        <v>27</v>
      </c>
      <c r="B34" s="9" t="inlineStr">
        <is>
          <t>服务</t>
        </is>
      </c>
      <c r="C34" s="10" t="inlineStr">
        <is>
          <t>私有化部署、培训与 12 个月质保</t>
        </is>
      </c>
      <c r="D34" s="10" t="inlineStr">
        <is>
          <t>现场上架、模型与系统联调、运维培训、缺陷修复与基础模型维护</t>
        </is>
      </c>
      <c r="E34" s="11" t="n">
        <v>1</v>
      </c>
      <c r="F34" s="44" t="n">
        <v>25000</v>
      </c>
      <c r="G34" s="45">
        <f>E34*F34</f>
        <v/>
      </c>
    </row>
    <row r="35" ht="33.95" customHeight="1">
      <c r="A35" s="24" t="inlineStr">
        <is>
          <t>本方案建设及首年落地综合预算（含税）</t>
        </is>
      </c>
      <c r="B35" s="46" t="n"/>
      <c r="C35" s="46" t="n"/>
      <c r="D35" s="46" t="n"/>
      <c r="E35" s="46" t="n"/>
      <c r="F35" s="46" t="n"/>
      <c r="G35" s="47">
        <f>SUM(G8:G34)</f>
        <v/>
      </c>
    </row>
    <row r="36" ht="16.5" customHeight="1">
      <c r="A36" s="13" t="n"/>
      <c r="B36" s="13" t="n"/>
      <c r="C36" s="13" t="n"/>
      <c r="D36" s="13" t="n"/>
      <c r="E36" s="13" t="n"/>
      <c r="F36" s="13" t="n"/>
      <c r="G36" s="13" t="n"/>
    </row>
    <row r="37" ht="27.95" customHeight="1">
      <c r="A37" s="26" t="inlineStr">
        <is>
          <t>实施范围、验收边界与商务说明</t>
        </is>
      </c>
    </row>
    <row r="38" ht="33.95" customHeight="1">
      <c r="A38" s="20" t="inlineStr">
        <is>
          <t>1．交付：完整 H5/后台/Agent/音频网关源码、知识数据、开源模型容器与配置、GPU 服务器整机、压测与运维文档、50 套验证样机。</t>
        </is>
      </c>
      <c r="B38" s="48" t="n"/>
      <c r="C38" s="48" t="n"/>
      <c r="D38" s="48" t="n"/>
      <c r="E38" s="48" t="n"/>
      <c r="F38" s="48" t="n"/>
      <c r="G38" s="48" t="n"/>
    </row>
    <row r="39" ht="33.95" customHeight="1">
      <c r="A39" s="18" t="inlineStr">
        <is>
          <t>2．容量假设：单台双 GPU 服务器，目标 20–40 路实时会话；实际并发取决于模型尺寸、目标语种、量化精度与端到端时延要求，以最终压测为准。</t>
        </is>
      </c>
      <c r="B39" s="49" t="n"/>
      <c r="C39" s="49" t="n"/>
      <c r="D39" s="49" t="n"/>
      <c r="E39" s="49" t="n"/>
      <c r="F39" s="49" t="n"/>
      <c r="G39" s="49" t="n"/>
    </row>
    <row r="40" ht="33.95" customHeight="1">
      <c r="A40" s="18" t="inlineStr">
        <is>
          <t>3．开源模型许可证、权重可商用范围及第三方音色/语料授权须在定版时逐项审查；低资源东南亚语种可能需要追加数据与母语质检。</t>
        </is>
      </c>
      <c r="B40" s="49" t="n"/>
      <c r="C40" s="49" t="n"/>
      <c r="D40" s="49" t="n"/>
      <c r="E40" s="49" t="n"/>
      <c r="F40" s="49" t="n"/>
      <c r="G40" s="49" t="n"/>
    </row>
    <row r="41" ht="33.95" customHeight="1">
      <c r="A41" s="18" t="inlineStr">
        <is>
          <t>4．不含：第二套容灾服务器、专线、机柜改造、超过 50 套量产、外部 ERP/POS/票务接口及专有语料采购。</t>
        </is>
      </c>
      <c r="B41" s="49" t="n"/>
      <c r="C41" s="49" t="n"/>
      <c r="D41" s="49" t="n"/>
      <c r="E41" s="49" t="n"/>
      <c r="F41" s="49" t="n"/>
      <c r="G41" s="49" t="n"/>
    </row>
    <row r="42" ht="33.95" customHeight="1">
      <c r="A42" s="18" t="inlineStr">
        <is>
          <t>商务建议：付款 40%（启动）/30%（中期联调）/20%（上线验收）/10%（质保期满）；报价有效期 60 天，正式合同以需求冻结清单为准。</t>
        </is>
      </c>
      <c r="B42" s="49" t="n"/>
      <c r="C42" s="49" t="n"/>
      <c r="D42" s="49" t="n"/>
      <c r="E42" s="49" t="n"/>
      <c r="F42" s="49" t="n"/>
      <c r="G42" s="49" t="n"/>
    </row>
    <row r="43" ht="33.95" customHeight="1">
      <c r="A43" s="18" t="inlineStr">
        <is>
          <t>豆包能力与计费参考：https://www.volcengine.com/products/Audio-editing-and-sound-processing ｜ https://www.volcengine.com/docs/82379/1544681?lang=zh</t>
        </is>
      </c>
      <c r="B43" s="49" t="n"/>
      <c r="C43" s="49" t="n"/>
      <c r="D43" s="49" t="n"/>
      <c r="E43" s="49" t="n"/>
      <c r="F43" s="49" t="n"/>
      <c r="G43" s="49" t="n"/>
    </row>
    <row r="44" ht="33.95" customHeight="1">
      <c r="A44" s="18" t="inlineStr">
        <is>
          <t>成本底稿：目录内既有《智能应用及专属蓝牙文创耳机开发报价单》《AI语音Agent伴游H5一页纸报价单》《实时翻译全栈研发与AI算力部署报价单》。</t>
        </is>
      </c>
      <c r="B44" s="49" t="n"/>
      <c r="C44" s="49" t="n"/>
      <c r="D44" s="49" t="n"/>
      <c r="E44" s="49" t="n"/>
      <c r="F44" s="49" t="n"/>
      <c r="G44" s="49" t="n"/>
    </row>
    <row r="45" ht="33.95" customHeight="1">
      <c r="A45" s="19" t="inlineStr">
        <is>
          <t>编制日期：2026-08-28　｜　金额单位：人民币元　｜　所有第三方云服务按实际账单结算，预付预算不足部分不包含在固定总价内。</t>
        </is>
      </c>
      <c r="B45" s="50" t="n"/>
      <c r="C45" s="50" t="n"/>
      <c r="D45" s="50" t="n"/>
      <c r="E45" s="50" t="n"/>
      <c r="F45" s="50" t="n"/>
      <c r="G45" s="50" t="n"/>
    </row>
  </sheetData>
  <mergeCells count="20">
    <mergeCell ref="C5:D5"/>
    <mergeCell ref="E5:F5"/>
    <mergeCell ref="A38:G38"/>
    <mergeCell ref="C3:G3"/>
    <mergeCell ref="A43:G43"/>
    <mergeCell ref="C4:D4"/>
    <mergeCell ref="E4:F4"/>
    <mergeCell ref="A44:G44"/>
    <mergeCell ref="A40:G40"/>
    <mergeCell ref="A39:G39"/>
    <mergeCell ref="A35:F35"/>
    <mergeCell ref="A3:B3"/>
    <mergeCell ref="A45:G45"/>
    <mergeCell ref="A1:G1"/>
    <mergeCell ref="A5:B5"/>
    <mergeCell ref="A41:G41"/>
    <mergeCell ref="A37:G37"/>
    <mergeCell ref="A4:B4"/>
    <mergeCell ref="A2:G2"/>
    <mergeCell ref="A42:G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2026-09-16T22:49:24Z</dcterms:created>
  <dcterms:modified xmlns:dcterms="http://purl.org/dc/terms/" xmlns:xsi="http://www.w3.org/2001/XMLSchema-instance" xsi:type="dcterms:W3CDTF">2026-09-16T22:49:24Z</dcterms:modified>
  <cp:lastModifiedBy>adep</cp:lastModifiedBy>
</cp:coreProperties>
</file>