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报价总览与项目说明" sheetId="1" state="visible" r:id="rId1"/>
    <sheet xmlns:r="http://schemas.openxmlformats.org/officeDocument/2006/relationships" name="软件开发报价明细" sheetId="2" state="visible" r:id="rId2"/>
    <sheet xmlns:r="http://schemas.openxmlformats.org/officeDocument/2006/relationships" name="硬件研发与开模明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.00"/>
    <numFmt numFmtId="165" formatCode="0.0%"/>
  </numFmts>
  <fonts count="1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6"/>
    </font>
    <font>
      <name val="微软雅黑"/>
      <charset val="134"/>
      <b val="1"/>
      <color rgb="FFFFFFFF"/>
      <sz val="10"/>
    </font>
    <font>
      <name val="微软雅黑"/>
      <charset val="134"/>
      <color rgb="FF1A1A1A"/>
      <sz val="10"/>
    </font>
    <font>
      <name val="微软雅黑"/>
      <charset val="134"/>
      <b val="1"/>
      <color rgb="FF2B1D14"/>
      <sz val="10"/>
    </font>
    <font>
      <name val="微软雅黑"/>
      <charset val="134"/>
      <color rgb="FF555555"/>
      <sz val="9"/>
    </font>
    <font>
      <name val="微软雅黑"/>
      <charset val="134"/>
      <b val="1"/>
      <color rgb="FF8A1C14"/>
      <sz val="11"/>
    </font>
    <font>
      <name val="微软雅黑"/>
      <charset val="134"/>
      <b val="1"/>
      <color rgb="FFFFFFFF"/>
      <sz val="12"/>
    </font>
    <font>
      <name val="微软雅黑"/>
      <charset val="134"/>
      <i val="1"/>
      <color rgb="FFE8D5C4"/>
      <sz val="11"/>
    </font>
    <font>
      <name val="宋体"/>
      <charset val="134"/>
      <sz val="9"/>
      <scheme val="minor"/>
    </font>
    <font>
      <name val="微软雅黑"/>
      <charset val="134"/>
      <family val="2"/>
      <color rgb="FF555555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color rgb="FF2B1D14"/>
      <sz val="10"/>
    </font>
    <font>
      <name val="微软雅黑"/>
      <charset val="134"/>
      <family val="2"/>
      <color rgb="FF1A1A1A"/>
      <sz val="10"/>
    </font>
  </fonts>
  <fills count="8">
    <fill>
      <patternFill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FDFBF7"/>
        <bgColor rgb="FFFDFBF7"/>
      </patternFill>
    </fill>
    <fill>
      <patternFill patternType="solid">
        <fgColor rgb="FFF5EFE6"/>
        <bgColor rgb="FFF5EFE6"/>
      </patternFill>
    </fill>
    <fill>
      <patternFill patternType="solid">
        <fgColor rgb="FFEBDBC7"/>
        <bgColor rgb="FFEBDBC7"/>
      </patternFill>
    </fill>
    <fill>
      <patternFill patternType="solid">
        <fgColor rgb="FF6B1710"/>
        <bgColor rgb="FF6B1710"/>
      </patternFill>
    </fill>
    <fill>
      <patternFill patternType="solid">
        <fgColor rgb="FF4A120E"/>
        <bgColor rgb="FF4A120E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8A1C14"/>
      </bottom>
      <diagonal/>
    </border>
    <border>
      <left/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/>
      <right/>
      <top style="thin">
        <color rgb="FFCCCCCC"/>
      </top>
      <bottom style="medium">
        <color rgb="FF8A1C14"/>
      </bottom>
      <diagonal/>
    </border>
    <border>
      <left/>
      <right style="thin">
        <color rgb="FFCCCCCC"/>
      </right>
      <top style="thin">
        <color rgb="FFCCCCCC"/>
      </top>
      <bottom style="medium">
        <color rgb="FF8A1C1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0" fontId="5" fillId="5" borderId="1" pivotButton="0" quotePrefix="0" xfId="0"/>
    <xf numFmtId="3" fontId="3" fillId="3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164" fontId="6" fillId="5" borderId="3" applyAlignment="1" pivotButton="0" quotePrefix="0" xfId="0">
      <alignment horizontal="right" vertical="center"/>
    </xf>
    <xf numFmtId="0" fontId="5" fillId="5" borderId="3" pivotButton="0" quotePrefix="0" xfId="0"/>
    <xf numFmtId="3" fontId="4" fillId="5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5" fontId="4" fillId="5" borderId="3" applyAlignment="1" pivotButton="0" quotePrefix="0" xfId="0">
      <alignment horizontal="right" vertical="center"/>
    </xf>
    <xf numFmtId="0" fontId="10" fillId="3" borderId="2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center" vertical="center" wrapText="1"/>
    </xf>
    <xf numFmtId="164" fontId="4" fillId="4" borderId="4" applyAlignment="1" pivotButton="0" quotePrefix="0" xfId="0">
      <alignment horizontal="right" vertical="center"/>
    </xf>
    <xf numFmtId="165" fontId="3" fillId="4" borderId="4" applyAlignment="1" pivotButton="0" quotePrefix="0" xfId="0">
      <alignment horizontal="right" vertical="center"/>
    </xf>
    <xf numFmtId="0" fontId="12" fillId="4" borderId="4" applyAlignment="1" pivotButton="0" quotePrefix="0" xfId="0">
      <alignment horizontal="left" vertical="center" wrapText="1"/>
    </xf>
    <xf numFmtId="0" fontId="13" fillId="4" borderId="4" applyAlignment="1" pivotButton="0" quotePrefix="0" xfId="0">
      <alignment horizontal="left" vertical="center" wrapText="1"/>
    </xf>
    <xf numFmtId="0" fontId="13" fillId="4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5" borderId="3" applyAlignment="1" pivotButton="0" quotePrefix="0" xfId="0">
      <alignment horizontal="center" vertical="center" wrapText="1"/>
    </xf>
    <xf numFmtId="0" fontId="0" fillId="5" borderId="3" pivotButton="0" quotePrefix="0" xfId="0"/>
    <xf numFmtId="0" fontId="7" fillId="6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4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164" fontId="4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164" fontId="4" fillId="4" borderId="4" applyAlignment="1" pivotButton="0" quotePrefix="0" xfId="0">
      <alignment horizontal="right" vertical="center"/>
    </xf>
    <xf numFmtId="165" fontId="3" fillId="4" borderId="4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4" fontId="6" fillId="5" borderId="3" applyAlignment="1" pivotButton="0" quotePrefix="0" xfId="0">
      <alignment horizontal="right" vertical="center"/>
    </xf>
    <xf numFmtId="165" fontId="4" fillId="5" borderId="3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12" pivotButton="0" quotePrefix="0" xfId="0"/>
    <xf numFmtId="164" fontId="6" fillId="5" borderId="1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I13" sqref="I13"/>
    </sheetView>
  </sheetViews>
  <sheetFormatPr baseColWidth="8" defaultColWidth="9" defaultRowHeight="13.5"/>
  <cols>
    <col width="16" customWidth="1" style="39" min="1" max="1"/>
    <col width="26" customWidth="1" style="39" min="2" max="2"/>
    <col width="42" customWidth="1" style="39" min="3" max="3"/>
    <col width="14" customWidth="1" style="39" min="4" max="4"/>
    <col width="18" customWidth="1" style="39" min="5" max="5"/>
    <col width="14" customWidth="1" style="39" min="6" max="6"/>
    <col width="30" customWidth="1" style="39" min="7" max="7"/>
  </cols>
  <sheetData>
    <row r="1">
      <c r="A1" s="40" t="inlineStr">
        <is>
          <t>四川省川剧院 · 智能剧场应用与专属蓝牙文创耳机开发项目报价单</t>
        </is>
      </c>
    </row>
    <row r="2">
      <c r="A2" s="41" t="inlineStr">
        <is>
          <t>涵盖全栈软件系统（大屏文创平台/扫码同传导览/AI多模态/管理后台）及硬件专属蓝牙耳机研发与开模费用</t>
        </is>
      </c>
    </row>
    <row r="4" ht="18" customHeight="1" s="39">
      <c r="A4" s="38" t="inlineStr">
        <is>
          <t>基本项目信息</t>
        </is>
      </c>
    </row>
    <row r="5" ht="16.5" customHeight="1" s="39">
      <c r="A5" s="23" t="inlineStr">
        <is>
          <t>项目名称</t>
        </is>
      </c>
      <c r="B5" s="34" t="inlineStr">
        <is>
          <t>四川省川剧院智能应用及专属蓝牙文创耳机研发项目</t>
        </is>
      </c>
      <c r="C5" s="45" t="n"/>
      <c r="D5" s="46" t="n"/>
      <c r="E5" s="23" t="inlineStr">
        <is>
          <t>客户名称</t>
        </is>
      </c>
      <c r="F5" s="34" t="inlineStr">
        <is>
          <t>四川省川剧院</t>
        </is>
      </c>
      <c r="G5" s="46" t="n"/>
    </row>
    <row r="6" ht="16.5" customHeight="1" s="39">
      <c r="A6" s="23" t="inlineStr">
        <is>
          <t>报价编制日期</t>
        </is>
      </c>
      <c r="B6" s="34" t="inlineStr">
        <is>
          <t>2026年08月10日</t>
        </is>
      </c>
      <c r="C6" s="45" t="n"/>
      <c r="D6" s="46" t="n"/>
      <c r="E6" s="23" t="inlineStr">
        <is>
          <t>报价有效期</t>
        </is>
      </c>
      <c r="F6" s="34" t="inlineStr">
        <is>
          <t>90 天</t>
        </is>
      </c>
      <c r="G6" s="46" t="n"/>
    </row>
    <row r="7" ht="16.5" customHeight="1" s="39">
      <c r="A7" s="23" t="inlineStr">
        <is>
          <t>软件版本基线</t>
        </is>
      </c>
      <c r="B7" s="34" t="inlineStr">
        <is>
          <t>W:\2026\20260118DEV\20260808Theatrical-Applications\20260808TA</t>
        </is>
      </c>
      <c r="C7" s="45" t="n"/>
      <c r="D7" s="46" t="n"/>
      <c r="E7" s="23" t="inlineStr">
        <is>
          <t>首款硬件定义</t>
        </is>
      </c>
      <c r="F7" s="34" t="inlineStr">
        <is>
          <t>川剧脸谱专属蓝牙文创耳机 (内滚/翻盖结构)</t>
        </is>
      </c>
      <c r="G7" s="46" t="n"/>
    </row>
    <row r="9" ht="18" customHeight="1" s="39">
      <c r="A9" s="38" t="inlineStr">
        <is>
          <t>费用模块汇总概览</t>
        </is>
      </c>
    </row>
    <row r="10" ht="16.5" customHeight="1" s="39">
      <c r="A10" s="1" t="inlineStr">
        <is>
          <t>序号</t>
        </is>
      </c>
      <c r="B10" s="1" t="inlineStr">
        <is>
          <t>模块名称</t>
        </is>
      </c>
      <c r="C10" s="1" t="inlineStr">
        <is>
          <t>开发/研制内容简述</t>
        </is>
      </c>
      <c r="D10" s="1" t="inlineStr">
        <is>
          <t>参考工时/周期</t>
        </is>
      </c>
      <c r="E10" s="1" t="inlineStr">
        <is>
          <t>含税报价 (RMB)</t>
        </is>
      </c>
      <c r="F10" s="1" t="inlineStr">
        <is>
          <t>占总预算比例</t>
        </is>
      </c>
      <c r="G10" s="1" t="inlineStr">
        <is>
          <t>详细明细表索引</t>
        </is>
      </c>
    </row>
    <row r="11" ht="33" customHeight="1" s="39">
      <c r="A11" s="2" t="n">
        <v>1</v>
      </c>
      <c r="B11" s="3" t="inlineStr">
        <is>
          <t>一、全栈软件系统开发与集成</t>
        </is>
      </c>
      <c r="C11" s="4" t="inlineStr">
        <is>
          <t>包含观戏大厅、文创数字资产平台、AI旅拍、多语言扫码导览小程序、FastAPI后端服务、音色库管理与管理后台</t>
        </is>
      </c>
      <c r="D11" s="2" t="inlineStr">
        <is>
          <t>45 工作日</t>
        </is>
      </c>
      <c r="E11" s="47">
        <f>软件开发报价明细!F18</f>
        <v/>
      </c>
      <c r="F11" s="48">
        <f>E11/E16</f>
        <v/>
      </c>
      <c r="G11" s="7" t="inlineStr">
        <is>
          <t>参阅 Sheet 2《软件开发报价明细》</t>
        </is>
      </c>
    </row>
    <row r="12" ht="33" customHeight="1" s="39">
      <c r="A12" s="8" t="n">
        <v>2</v>
      </c>
      <c r="B12" s="9" t="inlineStr">
        <is>
          <t>二、专属蓝牙文创耳机硬件研发与模具</t>
        </is>
      </c>
      <c r="C12" s="10" t="inlineStr">
        <is>
          <t>包含外观ID/结构MD设计、蓝牙5.3电路EE设计、嵌入式Firmware开发、精密塑胶与开合机构模具费</t>
        </is>
      </c>
      <c r="D12" s="8" t="inlineStr">
        <is>
          <t>60 工作日</t>
        </is>
      </c>
      <c r="E12" s="49">
        <f>硬件研发与开模明细!F11</f>
        <v/>
      </c>
      <c r="F12" s="50">
        <f>E12/E16</f>
        <v/>
      </c>
      <c r="G12" s="13" t="inlineStr">
        <is>
          <t>参阅 Sheet 3《硬件研发与开模明细》</t>
        </is>
      </c>
    </row>
    <row r="13" ht="33" customHeight="1" s="39">
      <c r="A13" s="2" t="n">
        <v>3</v>
      </c>
      <c r="B13" s="3" t="inlineStr">
        <is>
          <t>三、硬件手板打样、T1试产与工程验证</t>
        </is>
      </c>
      <c r="C13" s="4" t="inlineStr">
        <is>
          <t>包含CNC/3D打印结构手板打样、SMT电路样板、试模首批100套工程样品试产与装配调试</t>
        </is>
      </c>
      <c r="D13" s="2" t="inlineStr">
        <is>
          <t>15 工作日</t>
        </is>
      </c>
      <c r="E13" s="47">
        <f>硬件研发与开模明细!F19</f>
        <v/>
      </c>
      <c r="F13" s="48">
        <f>E13/E16</f>
        <v/>
      </c>
      <c r="G13" s="7" t="inlineStr">
        <is>
          <t>参阅 Sheet 3《硬件研发与开模明细》</t>
        </is>
      </c>
    </row>
    <row r="14" ht="33" customHeight="1" s="39">
      <c r="A14" s="8" t="n">
        <v>4</v>
      </c>
      <c r="B14" s="9" t="inlineStr">
        <is>
          <t>四、无线电认证、产品测试与系统交付</t>
        </is>
      </c>
      <c r="C14" s="10" t="inlineStr">
        <is>
          <t>包含SRRC无线电核准认证、CE/IPX检测协助、现场软硬件部署调试与1年保修运维支持</t>
        </is>
      </c>
      <c r="D14" s="8" t="inlineStr">
        <is>
          <t>15 工作日</t>
        </is>
      </c>
      <c r="E14" s="49" t="n">
        <v>58000</v>
      </c>
      <c r="F14" s="50">
        <f>E14/E16</f>
        <v/>
      </c>
      <c r="G14" s="13" t="inlineStr">
        <is>
          <t>含SRRC检测规费及首年运维服务</t>
        </is>
      </c>
    </row>
    <row r="15" ht="16.5" customHeight="1" s="39">
      <c r="A15" s="28" t="n">
        <v>5</v>
      </c>
      <c r="B15" s="31" t="inlineStr">
        <is>
          <t>五、本地服务器</t>
        </is>
      </c>
      <c r="C15" s="32" t="inlineStr">
        <is>
          <t>支撑软件运行与音频流分发，机柜加2U服务器，10G网卡</t>
        </is>
      </c>
      <c r="D15" s="33" t="inlineStr">
        <is>
          <t>15工作日</t>
        </is>
      </c>
      <c r="E15" s="51" t="n">
        <v>150000</v>
      </c>
      <c r="F15" s="52" t="n">
        <v>0.205</v>
      </c>
      <c r="G15" s="44" t="inlineStr">
        <is>
          <t>独立软件服务器</t>
        </is>
      </c>
    </row>
    <row r="16" ht="16.5" customHeight="1" s="39">
      <c r="A16" s="36" t="inlineStr">
        <is>
          <t>项目总计 (含税 RMB)</t>
        </is>
      </c>
      <c r="B16" s="53" t="n"/>
      <c r="C16" s="53" t="n"/>
      <c r="D16" s="54" t="n"/>
      <c r="E16" s="55">
        <f>SUM(E11:E15)</f>
        <v/>
      </c>
      <c r="F16" s="56">
        <f>SUM(F11:F15)</f>
        <v/>
      </c>
      <c r="G16" s="21" t="inlineStr">
        <is>
          <t>包含全部软件工程、硬件开模打样及100套工程样机</t>
        </is>
      </c>
    </row>
    <row r="18" ht="18" customHeight="1" s="39">
      <c r="A18" s="38" t="inlineStr">
        <is>
          <t>商务与交付条款</t>
        </is>
      </c>
    </row>
    <row r="19" ht="16.5" customHeight="1" s="39">
      <c r="A19" s="23" t="inlineStr">
        <is>
          <t>1. 付款方式</t>
        </is>
      </c>
      <c r="B19" s="34" t="inlineStr">
        <is>
          <t>首款 40%（合同签订后支付），中期款 30%（软件联调完成及耳机模具T0试模后支付），验收款 20%（首批100套样机交付及现场上线后），质保金 10%（质保期1年后支付）。</t>
        </is>
      </c>
      <c r="C19" s="45" t="n"/>
      <c r="D19" s="45" t="n"/>
      <c r="E19" s="45" t="n"/>
      <c r="F19" s="45" t="n"/>
      <c r="G19" s="46" t="n"/>
    </row>
    <row r="20" ht="16.5" customHeight="1" s="39">
      <c r="A20" s="23" t="inlineStr">
        <is>
          <t>2. 开发周期</t>
        </is>
      </c>
      <c r="B20" s="34" t="inlineStr">
        <is>
          <t>软件开发与上线预估 45 天；耳机硬件设计、电路SMT与模具开模预估 60 天；软硬件联合调试与试产预估 15 天。总体历时约 2.5~3 个月。</t>
        </is>
      </c>
      <c r="C20" s="45" t="n"/>
      <c r="D20" s="45" t="n"/>
      <c r="E20" s="45" t="n"/>
      <c r="F20" s="45" t="n"/>
      <c r="G20" s="46" t="n"/>
    </row>
    <row r="21" ht="16.5" customHeight="1" s="39">
      <c r="A21" s="23" t="inlineStr">
        <is>
          <t>3. 知识产权与交付物</t>
        </is>
      </c>
      <c r="B21" s="34" t="inlineStr">
        <is>
          <t>软件源代码（FastAPI后端、HTML5/JS前端、Admin后台）、智能硬件完整工程图纸（3D步阶模型、原理图/PCB Gerber文件、固件源码）、塑胶模具所有权及100套试产耳机均归甲方所有。</t>
        </is>
      </c>
      <c r="C21" s="45" t="n"/>
      <c r="D21" s="45" t="n"/>
      <c r="E21" s="45" t="n"/>
      <c r="F21" s="45" t="n"/>
      <c r="G21" s="46" t="n"/>
    </row>
    <row r="22" ht="16.5" customHeight="1" s="39">
      <c r="A22" s="23" t="inlineStr">
        <is>
          <t>4. 售后与质保服务</t>
        </is>
      </c>
      <c r="B22" s="34" t="inlineStr">
        <is>
          <t>提供 12 个月免费软件Bug修复与硬件模具修模/保养服务；提供第三方API（如阿里云TTS/Gemini API）对接维护与技术指导。</t>
        </is>
      </c>
      <c r="C22" s="45" t="n"/>
      <c r="D22" s="45" t="n"/>
      <c r="E22" s="45" t="n"/>
      <c r="F22" s="45" t="n"/>
      <c r="G22" s="46" t="n"/>
    </row>
  </sheetData>
  <mergeCells count="16">
    <mergeCell ref="B19:G19"/>
    <mergeCell ref="B20:G20"/>
    <mergeCell ref="B5:D5"/>
    <mergeCell ref="A1:G1"/>
    <mergeCell ref="A9:G9"/>
    <mergeCell ref="B22:G22"/>
    <mergeCell ref="A18:G18"/>
    <mergeCell ref="F5:G5"/>
    <mergeCell ref="A4:G4"/>
    <mergeCell ref="A2:G2"/>
    <mergeCell ref="F6:G6"/>
    <mergeCell ref="A16:D16"/>
    <mergeCell ref="B21:G21"/>
    <mergeCell ref="B6:D6"/>
    <mergeCell ref="B7:D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K10" sqref="K10"/>
    </sheetView>
  </sheetViews>
  <sheetFormatPr baseColWidth="8" defaultColWidth="9" defaultRowHeight="13.5"/>
  <cols>
    <col width="12" customWidth="1" style="39" min="1" max="1"/>
    <col width="22" customWidth="1" style="39" min="2" max="2"/>
    <col width="45" customWidth="1" style="39" min="3" max="3"/>
    <col width="14" customWidth="1" style="39" min="4" max="4"/>
    <col width="16" customWidth="1" style="39" min="5" max="5"/>
    <col width="18" customWidth="1" style="39" min="6" max="6"/>
    <col width="28" customWidth="1" style="39" min="7" max="7"/>
  </cols>
  <sheetData>
    <row r="1" ht="36" customHeight="1" s="39">
      <c r="A1" s="40" t="inlineStr">
        <is>
          <t>四川省川剧院智能剧场应用 · 软件开发费用报价明细表</t>
        </is>
      </c>
    </row>
    <row r="2" ht="26.1" customHeight="1" s="39">
      <c r="A2" s="1" t="inlineStr">
        <is>
          <t>模块编号</t>
        </is>
      </c>
      <c r="B2" s="1" t="inlineStr">
        <is>
          <t>功能模块分类</t>
        </is>
      </c>
      <c r="C2" s="1" t="inlineStr">
        <is>
          <t>详细功能特性与技术实现要点</t>
        </is>
      </c>
      <c r="D2" s="1" t="inlineStr">
        <is>
          <t>预估工时 (人天)</t>
        </is>
      </c>
      <c r="E2" s="1" t="inlineStr">
        <is>
          <t>基准单价 (元/人天)</t>
        </is>
      </c>
      <c r="F2" s="1" t="inlineStr">
        <is>
          <t>含税小计 (RMB)</t>
        </is>
      </c>
      <c r="G2" s="1" t="inlineStr">
        <is>
          <t>技术交付物及备注</t>
        </is>
      </c>
    </row>
    <row r="3" ht="24" customHeight="1" s="39">
      <c r="A3" s="2" t="inlineStr">
        <is>
          <t>SW-01</t>
        </is>
      </c>
      <c r="B3" s="3" t="inlineStr">
        <is>
          <t>观戏大厅与经典节目单</t>
        </is>
      </c>
      <c r="C3" s="4" t="inlineStr">
        <is>
          <t>今日演出现场节目单展示、戏剧章节导航（三国/水浒/红楼/变脸吐火）、演职员与剧种介绍</t>
        </is>
      </c>
      <c r="D3" s="17" t="n">
        <v>6</v>
      </c>
      <c r="E3" s="57" t="n">
        <v>2000</v>
      </c>
      <c r="F3" s="47">
        <f>D3*E3</f>
        <v/>
      </c>
      <c r="G3" s="27" t="inlineStr">
        <is>
          <t>HTML5/CSS 交互页面</t>
        </is>
      </c>
    </row>
    <row r="4" ht="24" customHeight="1" s="39">
      <c r="A4" s="8" t="inlineStr">
        <is>
          <t>SW-02</t>
        </is>
      </c>
      <c r="B4" s="9" t="inlineStr">
        <is>
          <t>实时双语字幕与同传播放器</t>
        </is>
      </c>
      <c r="C4" s="10" t="inlineStr">
        <is>
          <t>《皮金滚灯》等戏段实时双语字幕同步滚动、Audio Equalizer动效、双语推流与音频播放控制</t>
        </is>
      </c>
      <c r="D4" s="18" t="n">
        <v>8</v>
      </c>
      <c r="E4" s="58" t="n">
        <v>2000</v>
      </c>
      <c r="F4" s="49">
        <f>D4*E4</f>
        <v/>
      </c>
      <c r="G4" s="13" t="inlineStr">
        <is>
          <t>双语同传控件、音频流播放引擎</t>
        </is>
      </c>
    </row>
    <row r="5" ht="24" customHeight="1" s="39">
      <c r="A5" s="2" t="inlineStr">
        <is>
          <t>SW-03</t>
        </is>
      </c>
      <c r="B5" s="3" t="inlineStr">
        <is>
          <t>文创非遗数字资产库</t>
        </is>
      </c>
      <c r="C5" s="4" t="inlineStr">
        <is>
          <t>AI提示词IP授权库、非遗脸谱矢量纹样展示、3D古戏场渲染展示、名角IP资产展示</t>
        </is>
      </c>
      <c r="D5" s="17" t="n">
        <v>8</v>
      </c>
      <c r="E5" s="57" t="n">
        <v>2000</v>
      </c>
      <c r="F5" s="47">
        <f>D5*E5</f>
        <v/>
      </c>
      <c r="G5" s="7" t="inlineStr">
        <is>
          <t>数字资产展示组件、授权申请流程</t>
        </is>
      </c>
    </row>
    <row r="6" ht="24" customHeight="1" s="39">
      <c r="A6" s="8" t="inlineStr">
        <is>
          <t>SW-04</t>
        </is>
      </c>
      <c r="B6" s="9" t="inlineStr">
        <is>
          <t>AI旅拍与一键换装</t>
        </is>
      </c>
      <c r="C6" s="10" t="inlineStr">
        <is>
          <t>集成Gemini多模态大模型API，实现武生/花旦换装、同框合影、水墨/火影特效，套餐购买逻辑</t>
        </is>
      </c>
      <c r="D6" s="18" t="n">
        <v>12</v>
      </c>
      <c r="E6" s="58" t="n">
        <v>2200</v>
      </c>
      <c r="F6" s="49">
        <f>D6*E6</f>
        <v/>
      </c>
      <c r="G6" s="13" t="inlineStr">
        <is>
          <t>Gemini API安全代理服务与前端UI</t>
        </is>
      </c>
    </row>
    <row r="7" ht="24" customHeight="1" s="39">
      <c r="A7" s="2" t="inlineStr">
        <is>
          <t>SW-05</t>
        </is>
      </c>
      <c r="B7" s="3" t="inlineStr">
        <is>
          <t>IP数字藏品与文创商城</t>
        </is>
      </c>
      <c r="C7" s="4" t="inlineStr">
        <is>
          <t>藏品铸造展示、正版文创商城（武生模型/蜀绣/竹编扇/紫砂壶）展示与订购交互UI</t>
        </is>
      </c>
      <c r="D7" s="17" t="n">
        <v>8</v>
      </c>
      <c r="E7" s="57" t="n">
        <v>2000</v>
      </c>
      <c r="F7" s="47">
        <f>D7*E7</f>
        <v/>
      </c>
      <c r="G7" s="7" t="inlineStr">
        <is>
          <t>文创商城交互页面、数字藏品模块</t>
        </is>
      </c>
    </row>
    <row r="8" ht="24" customHeight="1" s="39">
      <c r="A8" s="8" t="inlineStr">
        <is>
          <t>SW-06</t>
        </is>
      </c>
      <c r="B8" s="9" t="inlineStr">
        <is>
          <t>VR全景展厅与川剧生活</t>
        </is>
      </c>
      <c r="C8" s="10" t="inlineStr">
        <is>
          <t>百年陈列馆/脸谱工坊3D全景VR集成、盖碗茶听戏体验与非遗手绘课程预订</t>
        </is>
      </c>
      <c r="D8" s="18" t="n">
        <v>6</v>
      </c>
      <c r="E8" s="58" t="n">
        <v>2000</v>
      </c>
      <c r="F8" s="49">
        <f>D8*E8</f>
        <v/>
      </c>
      <c r="G8" s="13" t="inlineStr">
        <is>
          <t>VR全景嵌入组件、体验课预订UI</t>
        </is>
      </c>
    </row>
    <row r="9" ht="24" customHeight="1" s="39">
      <c r="A9" s="2" t="inlineStr">
        <is>
          <t>SW-07</t>
        </is>
      </c>
      <c r="B9" s="3" t="inlineStr">
        <is>
          <t>扫码识别与Web Bluetooth集成</t>
        </is>
      </c>
      <c r="C9" s="4" t="inlineStr">
        <is>
          <t>扫码匹配耳机关联二维码、Web Bluetooth (GATT) 设备搜索/连接、序列号与Service UUID强校验</t>
        </is>
      </c>
      <c r="D9" s="17" t="n">
        <v>12</v>
      </c>
      <c r="E9" s="57" t="n">
        <v>2500</v>
      </c>
      <c r="F9" s="47">
        <f>D9*E9</f>
        <v/>
      </c>
      <c r="G9" s="7" t="inlineStr">
        <is>
          <t>Web Bluetooth 蓝牙通信核心驱动</t>
        </is>
      </c>
    </row>
    <row r="10" ht="24" customHeight="1" s="39">
      <c r="A10" s="8" t="inlineStr">
        <is>
          <t>SW-08</t>
        </is>
      </c>
      <c r="B10" s="9" t="inlineStr">
        <is>
          <t>多语言同声传译与扫码弹层</t>
        </is>
      </c>
      <c r="C10" s="10" t="inlineStr">
        <is>
          <t>16+主流语言扫码强制选择弹层、UI与语音同步适配、国际化多语言JSON切换引擎</t>
        </is>
      </c>
      <c r="D10" s="18" t="n">
        <v>8</v>
      </c>
      <c r="E10" s="58" t="n">
        <v>2000</v>
      </c>
      <c r="F10" s="49">
        <f>D10*E10</f>
        <v/>
      </c>
      <c r="G10" s="13" t="inlineStr">
        <is>
          <t>i18n 多语言引擎与扫码弹层组件</t>
        </is>
      </c>
    </row>
    <row r="11" ht="24" customHeight="1" s="39">
      <c r="A11" s="2" t="inlineStr">
        <is>
          <t>SW-09</t>
        </is>
      </c>
      <c r="B11" s="3" t="inlineStr">
        <is>
          <t>双引擎TTS与离线语音缓存</t>
        </is>
      </c>
      <c r="C11" s="4" t="inlineStr">
        <is>
          <t>Edge TTS免费云音色调度 + 阿里云TTS NLS/百炼DashScope接入、IndexedDB本地语音离线缓存</t>
        </is>
      </c>
      <c r="D11" s="17" t="n">
        <v>10</v>
      </c>
      <c r="E11" s="57" t="n">
        <v>2200</v>
      </c>
      <c r="F11" s="47">
        <f>D11*E11</f>
        <v/>
      </c>
      <c r="G11" s="7" t="inlineStr">
        <is>
          <t>TTS多引擎适配器、IndexedDB缓存驱动</t>
        </is>
      </c>
    </row>
    <row r="12" ht="24" customHeight="1" s="39">
      <c r="A12" s="8" t="inlineStr">
        <is>
          <t>SW-10</t>
        </is>
      </c>
      <c r="B12" s="9" t="inlineStr">
        <is>
          <t>川剧变脸互动UI与讲解预约</t>
        </is>
      </c>
      <c r="C12" s="10" t="inlineStr">
        <is>
          <t>导览步骤切换、川剧红黑金蓝绿白六色脸谱背景动态过渡与火焰闪烁特效、讲解预约下发</t>
        </is>
      </c>
      <c r="D12" s="18" t="n">
        <v>8</v>
      </c>
      <c r="E12" s="58" t="n">
        <v>2000</v>
      </c>
      <c r="F12" s="49">
        <f>D12*E12</f>
        <v/>
      </c>
      <c r="G12" s="13" t="inlineStr">
        <is>
          <t>变脸特效动画库、预约前端交互</t>
        </is>
      </c>
    </row>
    <row r="13" ht="24" customHeight="1" s="39">
      <c r="A13" s="2" t="inlineStr">
        <is>
          <t>SW-11</t>
        </is>
      </c>
      <c r="B13" s="3" t="inlineStr">
        <is>
          <t>FastAPI 后端核心架构</t>
        </is>
      </c>
      <c r="C13" s="4" t="inlineStr">
        <is>
          <t>RESTful API 架构、SQLite/SQLAlchemy ORM、JWT身份认证与权限校验、CORS与安全配置</t>
        </is>
      </c>
      <c r="D13" s="17" t="n">
        <v>10</v>
      </c>
      <c r="E13" s="57" t="n">
        <v>2200</v>
      </c>
      <c r="F13" s="47">
        <f>D13*E13</f>
        <v/>
      </c>
      <c r="G13" s="7" t="inlineStr">
        <is>
          <t>FastAPI 后端源码与数据库迁移脚本</t>
        </is>
      </c>
    </row>
    <row r="14" ht="24" customHeight="1" s="39">
      <c r="A14" s="8" t="inlineStr">
        <is>
          <t>SW-12</t>
        </is>
      </c>
      <c r="B14" s="9" t="inlineStr">
        <is>
          <t>耳机管理与设备绑定服务</t>
        </is>
      </c>
      <c r="C14" s="10" t="inlineStr">
        <is>
          <t>蓝牙耳机二维码生成与身份登记、GATT设备校验API、设备状态（可出租/已出租/下架）维护</t>
        </is>
      </c>
      <c r="D14" s="18" t="n">
        <v>8</v>
      </c>
      <c r="E14" s="58" t="n">
        <v>2000</v>
      </c>
      <c r="F14" s="49">
        <f>D14*E14</f>
        <v/>
      </c>
      <c r="G14" s="13" t="inlineStr">
        <is>
          <t>耳机设备管理后端服务模块</t>
        </is>
      </c>
    </row>
    <row r="15" ht="24" customHeight="1" s="39">
      <c r="A15" s="2" t="inlineStr">
        <is>
          <t>SW-13</t>
        </is>
      </c>
      <c r="B15" s="3" t="inlineStr">
        <is>
          <t>声音克隆与音色库管理</t>
        </is>
      </c>
      <c r="C15" s="4" t="inlineStr">
        <is>
          <t>GPT-SoVITS / CosyVoice 音色上传/克隆、音色试听/设置默认、开源参考音色批量下载引擎</t>
        </is>
      </c>
      <c r="D15" s="17" t="n">
        <v>12</v>
      </c>
      <c r="E15" s="57" t="n">
        <v>2500</v>
      </c>
      <c r="F15" s="47">
        <f>D15*E15</f>
        <v/>
      </c>
      <c r="G15" s="7" t="inlineStr">
        <is>
          <t>音色库管理模块、语音试听接口</t>
        </is>
      </c>
    </row>
    <row r="16" ht="24" customHeight="1" s="39">
      <c r="A16" s="8" t="inlineStr">
        <is>
          <t>SW-14</t>
        </is>
      </c>
      <c r="B16" s="9" t="inlineStr">
        <is>
          <t>管理后台 Admin Web UI</t>
        </is>
      </c>
      <c r="C16" s="10" t="inlineStr">
        <is>
          <t>节目单发布/上下架、预约管理、耳机登记管理、阿里云TTS密钥设置与音色试听管理面板</t>
        </is>
      </c>
      <c r="D16" s="18" t="n">
        <v>10</v>
      </c>
      <c r="E16" s="58" t="n">
        <v>2000</v>
      </c>
      <c r="F16" s="49">
        <f>D16*E16</f>
        <v/>
      </c>
      <c r="G16" s="13" t="inlineStr">
        <is>
          <t>Admin 管理后台前端全套源码</t>
        </is>
      </c>
    </row>
    <row r="17" ht="24" customHeight="1" s="39">
      <c r="A17" s="2" t="inlineStr">
        <is>
          <t>SW-15</t>
        </is>
      </c>
      <c r="B17" s="3" t="inlineStr">
        <is>
          <t>云部署与运维工具包</t>
        </is>
      </c>
      <c r="C17" s="4" t="inlineStr">
        <is>
          <t>Linux Systemd 守护进程脚本、Nginx HTTPS/WSS 反向代理配置、自动化部署 start.sh</t>
        </is>
      </c>
      <c r="D17" s="17" t="n">
        <v>4</v>
      </c>
      <c r="E17" s="57" t="n">
        <v>2000</v>
      </c>
      <c r="F17" s="47">
        <f>D17*E17</f>
        <v/>
      </c>
      <c r="G17" s="7" t="inlineStr">
        <is>
          <t>部署配置文件包与运维文档</t>
        </is>
      </c>
    </row>
    <row r="18" ht="27.95" customHeight="1" s="39">
      <c r="A18" s="36" t="inlineStr">
        <is>
          <t>软件开发费用小计</t>
        </is>
      </c>
      <c r="B18" s="53" t="n"/>
      <c r="C18" s="54" t="n"/>
      <c r="D18" s="22">
        <f>SUM(D3:D17)</f>
        <v/>
      </c>
      <c r="E18" s="19" t="inlineStr">
        <is>
          <t>-</t>
        </is>
      </c>
      <c r="F18" s="55">
        <f>SUM(F3:F17)</f>
        <v/>
      </c>
      <c r="G18" s="21" t="inlineStr">
        <is>
          <t>全套软件源代码及相关部署运维脚本交付</t>
        </is>
      </c>
    </row>
  </sheetData>
  <mergeCells count="2">
    <mergeCell ref="A18:C1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J14" sqref="J14"/>
    </sheetView>
  </sheetViews>
  <sheetFormatPr baseColWidth="8" defaultColWidth="9" defaultRowHeight="13.5"/>
  <cols>
    <col width="12" customWidth="1" style="39" min="1" max="1"/>
    <col width="24" customWidth="1" style="39" min="2" max="2"/>
    <col width="45" customWidth="1" style="39" min="3" max="3"/>
    <col width="14" customWidth="1" style="39" min="4" max="4"/>
    <col width="16" customWidth="1" style="39" min="5" max="5"/>
    <col width="18" customWidth="1" style="39" min="6" max="6"/>
    <col width="28" customWidth="1" style="39" min="7" max="7"/>
  </cols>
  <sheetData>
    <row r="1">
      <c r="A1" s="40" t="inlineStr">
        <is>
          <t>专属蓝牙文创耳机 · 硬件研发、结构模具与小试产报价明细表</t>
        </is>
      </c>
    </row>
    <row r="2" ht="16.5" customHeight="1" s="39">
      <c r="A2" s="1" t="inlineStr">
        <is>
          <t>工程编号</t>
        </is>
      </c>
      <c r="B2" s="1" t="inlineStr">
        <is>
          <t>硬件研发/开模阶段</t>
        </is>
      </c>
      <c r="C2" s="1" t="inlineStr">
        <is>
          <t>详细工作内容与技术指标要点</t>
        </is>
      </c>
      <c r="D2" s="1" t="inlineStr">
        <is>
          <t>数量/单位</t>
        </is>
      </c>
      <c r="E2" s="1" t="inlineStr">
        <is>
          <t>单价 (元)</t>
        </is>
      </c>
      <c r="F2" s="1" t="inlineStr">
        <is>
          <t>含税小计 (RMB)</t>
        </is>
      </c>
      <c r="G2" s="1" t="inlineStr">
        <is>
          <t>交付物及验收标准</t>
        </is>
      </c>
    </row>
    <row r="3" ht="33" customHeight="1" s="39">
      <c r="A3" s="2" t="inlineStr">
        <is>
          <t>HW-01</t>
        </is>
      </c>
      <c r="B3" s="3" t="inlineStr">
        <is>
          <t>1. 工业设计 ID</t>
        </is>
      </c>
      <c r="C3" s="4" t="inlineStr">
        <is>
          <t>川剧脸谱文创造型设计、首款双翻盖/内滚开启机构外观风格、配色与CMF质感定义</t>
        </is>
      </c>
      <c r="D3" s="2" t="n">
        <v>1</v>
      </c>
      <c r="E3" s="57" t="n">
        <v>18000</v>
      </c>
      <c r="F3" s="47">
        <f>D3*E3</f>
        <v/>
      </c>
      <c r="G3" s="7" t="inlineStr">
        <is>
          <t>3D渲染图、2D效果图、CMF规范文档</t>
        </is>
      </c>
    </row>
    <row r="4" ht="33" customHeight="1" s="39">
      <c r="A4" s="8" t="inlineStr">
        <is>
          <t>HW-02</t>
        </is>
      </c>
      <c r="B4" s="9" t="inlineStr">
        <is>
          <t>2. 结构工程 MD</t>
        </is>
      </c>
      <c r="C4" s="10" t="inlineStr">
        <is>
          <t>耳壳内部堆叠、脸谱转轴/内滚机构设计、人体工学佩戴评估、防水防尘密封结构设计</t>
        </is>
      </c>
      <c r="D4" s="8" t="n">
        <v>1</v>
      </c>
      <c r="E4" s="58" t="n">
        <v>22000</v>
      </c>
      <c r="F4" s="49">
        <f>D4*E4</f>
        <v/>
      </c>
      <c r="G4" s="13" t="inlineStr">
        <is>
          <t>完整 3D STEP 建模文件、2D工程图</t>
        </is>
      </c>
    </row>
    <row r="5" ht="33" customHeight="1" s="39">
      <c r="A5" s="2" t="inlineStr">
        <is>
          <t>HW-03</t>
        </is>
      </c>
      <c r="B5" s="3" t="inlineStr">
        <is>
          <t>3. 硬件电路设计 EE</t>
        </is>
      </c>
      <c r="C5" s="4" t="inlineStr">
        <is>
          <t>蓝牙5.3/5.4双模主控方案、BLE广播/Web Bluetooth适配电路、电池管理PMIC、触控及Hall IC</t>
        </is>
      </c>
      <c r="D5" s="2" t="n">
        <v>1</v>
      </c>
      <c r="E5" s="57" t="n">
        <v>25000</v>
      </c>
      <c r="F5" s="47">
        <f>D5*E5</f>
        <v/>
      </c>
      <c r="G5" s="7" t="inlineStr">
        <is>
          <t>原理图、PCB Layout Gerber文件、BOM表</t>
        </is>
      </c>
    </row>
    <row r="6" ht="33" customHeight="1" s="39">
      <c r="A6" s="8" t="inlineStr">
        <is>
          <t>HW-04</t>
        </is>
      </c>
      <c r="B6" s="9" t="inlineStr">
        <is>
          <t>4. 嵌入式固件 Firmware</t>
        </is>
      </c>
      <c r="C6" s="10" t="inlineStr">
        <is>
          <t>BLE自定义服务广播包设计、设备ID/序列号加密编码、Web Bluetooth极速握手、低功耗优化</t>
        </is>
      </c>
      <c r="D6" s="8" t="n">
        <v>1</v>
      </c>
      <c r="E6" s="58" t="n">
        <v>58000</v>
      </c>
      <c r="F6" s="49">
        <f>D6*E6</f>
        <v/>
      </c>
      <c r="G6" s="13" t="inlineStr">
        <is>
          <t>固件源码、HEX烧录文件、OTA升级包</t>
        </is>
      </c>
    </row>
    <row r="7" ht="33" customHeight="1" s="39">
      <c r="A7" s="2" t="inlineStr">
        <is>
          <t>HW-05</t>
        </is>
      </c>
      <c r="B7" s="3" t="inlineStr">
        <is>
          <t>5. 精密塑胶模具 (耳壳)</t>
        </is>
      </c>
      <c r="C7" s="4" t="inlineStr">
        <is>
          <t>左右耳壳精密塑胶注塑模具（长寿命钢模，S136极淬火钢，保证10万模次）</t>
        </is>
      </c>
      <c r="D7" s="2" t="n">
        <v>1</v>
      </c>
      <c r="E7" s="57" t="n">
        <v>48000</v>
      </c>
      <c r="F7" s="47">
        <f>D7*E7</f>
        <v/>
      </c>
      <c r="G7" s="7" t="inlineStr">
        <is>
          <t>左右耳壳成型模具</t>
        </is>
      </c>
    </row>
    <row r="8" ht="33" customHeight="1" s="39">
      <c r="A8" s="8" t="inlineStr">
        <is>
          <t>HW-06</t>
        </is>
      </c>
      <c r="B8" s="9" t="inlineStr">
        <is>
          <t>6. 开合机构与仓体模具</t>
        </is>
      </c>
      <c r="C8" s="10" t="inlineStr">
        <is>
          <t>充电仓外壳模具、川剧脸谱内滚/双翻盖转轴机构精密模具（耐磨POM/金属镶件）</t>
        </is>
      </c>
      <c r="D8" s="8" t="n">
        <v>1</v>
      </c>
      <c r="E8" s="58" t="n">
        <v>62000</v>
      </c>
      <c r="F8" s="49">
        <f>D8*E8</f>
        <v/>
      </c>
      <c r="G8" s="13" t="inlineStr">
        <is>
          <t>充电仓与机关件注塑模具</t>
        </is>
      </c>
    </row>
    <row r="9" ht="16.5" customHeight="1" s="39">
      <c r="A9" s="2" t="inlineStr">
        <is>
          <t>HW-07</t>
        </is>
      </c>
      <c r="B9" s="3" t="inlineStr">
        <is>
          <t>7. 硅胶/软胶密封件模具</t>
        </is>
      </c>
      <c r="C9" s="4" t="inlineStr">
        <is>
          <t>耳塞套、硅胶密封垫及软胶按键液态硅胶 (LSR) 注塑模具</t>
        </is>
      </c>
      <c r="D9" s="2" t="n">
        <v>1</v>
      </c>
      <c r="E9" s="57" t="n">
        <v>15000</v>
      </c>
      <c r="F9" s="47">
        <f>D9*E9</f>
        <v/>
      </c>
      <c r="G9" s="7" t="inlineStr">
        <is>
          <t>硅胶零件专用注塑模具</t>
        </is>
      </c>
    </row>
    <row r="10" ht="33" customHeight="1" s="39">
      <c r="A10" s="8" t="inlineStr">
        <is>
          <t>HW-08</t>
        </is>
      </c>
      <c r="B10" s="9" t="inlineStr">
        <is>
          <t>8. 模具试模与修模保养</t>
        </is>
      </c>
      <c r="C10" s="10" t="inlineStr">
        <is>
          <t>T0/T1/T2 试模注塑、尺寸测量与拟合、外观表面修模与咬花/晒纹工艺处理</t>
        </is>
      </c>
      <c r="D10" s="8" t="n">
        <v>1</v>
      </c>
      <c r="E10" s="58" t="n">
        <v>18000</v>
      </c>
      <c r="F10" s="49">
        <f>D10*E10</f>
        <v/>
      </c>
      <c r="G10" s="13" t="inlineStr">
        <is>
          <t>试模样件、模具晒纹及检讨报告</t>
        </is>
      </c>
    </row>
    <row r="11" ht="15.75" customHeight="1" s="39">
      <c r="A11" s="42" t="inlineStr">
        <is>
          <t>小计一：硬件研发与模具开发费用 (NRE)</t>
        </is>
      </c>
      <c r="B11" s="59" t="n"/>
      <c r="C11" s="60" t="n"/>
      <c r="D11" s="14" t="inlineStr">
        <is>
          <t>-</t>
        </is>
      </c>
      <c r="E11" s="14" t="inlineStr">
        <is>
          <t>-</t>
        </is>
      </c>
      <c r="F11" s="61">
        <f>SUM(F3:F10)</f>
        <v/>
      </c>
      <c r="G11" s="16" t="inlineStr">
        <is>
          <t>包含工业/结构设计、电路/固件及全套精密模具</t>
        </is>
      </c>
    </row>
    <row r="12" ht="18" customHeight="1" s="39">
      <c r="A12" s="38" t="inlineStr">
        <is>
          <t>二、手板打样、小批试产与验证费用</t>
        </is>
      </c>
    </row>
    <row r="13" ht="33" customHeight="1" s="39">
      <c r="A13" s="2" t="inlineStr">
        <is>
          <t>HW-09</t>
        </is>
      </c>
      <c r="B13" s="3" t="inlineStr">
        <is>
          <t>9. 3D/CNC 结构手板打样</t>
        </is>
      </c>
      <c r="C13" s="4" t="inlineStr">
        <is>
          <t>高精度CNC铝合金与SLA树脂结构手板打样（5套），用于外观与佩戴结构验证</t>
        </is>
      </c>
      <c r="D13" s="17" t="n">
        <v>5</v>
      </c>
      <c r="E13" s="57" t="n">
        <v>1000</v>
      </c>
      <c r="F13" s="47">
        <f>D13*E13</f>
        <v/>
      </c>
      <c r="G13" s="7" t="inlineStr">
        <is>
          <t>合格工程外观手板 5 套</t>
        </is>
      </c>
    </row>
    <row r="14" ht="33" customHeight="1" s="39">
      <c r="A14" s="8" t="inlineStr">
        <is>
          <t>HW-10</t>
        </is>
      </c>
      <c r="B14" s="9" t="inlineStr">
        <is>
          <t>10. SMT 电路样板打样</t>
        </is>
      </c>
      <c r="C14" s="10" t="inlineStr">
        <is>
          <t>PCB打样、元器件BOM采购与首批贴片装配（10板），电路调纤与RF性能调试</t>
        </is>
      </c>
      <c r="D14" s="18" t="n">
        <v>10</v>
      </c>
      <c r="E14" s="58" t="n">
        <v>600</v>
      </c>
      <c r="F14" s="49">
        <f>D14*E14</f>
        <v/>
      </c>
      <c r="G14" s="13" t="inlineStr">
        <is>
          <t>功能电路测试样板 10 板</t>
        </is>
      </c>
    </row>
    <row r="15" ht="33" customHeight="1" s="39">
      <c r="A15" s="2" t="inlineStr">
        <is>
          <t>HW-11</t>
        </is>
      </c>
      <c r="B15" s="3" t="inlineStr">
        <is>
          <t>11. 声学与BLE测试治具</t>
        </is>
      </c>
      <c r="C15" s="4" t="inlineStr">
        <is>
          <t>声学仿真测试治具、BLE信号频偏与广播测试治具、固件批量烧录治具制作</t>
        </is>
      </c>
      <c r="D15" s="17" t="n">
        <v>1</v>
      </c>
      <c r="E15" s="57" t="n">
        <v>5000</v>
      </c>
      <c r="F15" s="47">
        <f>D15*E15</f>
        <v/>
      </c>
      <c r="G15" s="7" t="inlineStr">
        <is>
          <t>工程测试与烧录治具 1 套</t>
        </is>
      </c>
    </row>
    <row r="16" ht="33" customHeight="1" s="39">
      <c r="A16" s="8" t="inlineStr">
        <is>
          <t>HW-12</t>
        </is>
      </c>
      <c r="B16" s="9" t="inlineStr">
        <is>
          <t>12. T1 试产材料与BOM物料</t>
        </is>
      </c>
      <c r="C16" s="10" t="inlineStr">
        <is>
          <t>首批 100 套工程样机材料采购（蓝牙芯片、主板、聚合物电池、喇叭单元、耳壳结构件）</t>
        </is>
      </c>
      <c r="D16" s="18" t="n">
        <v>100</v>
      </c>
      <c r="E16" s="58" t="n">
        <v>220</v>
      </c>
      <c r="F16" s="49">
        <f>D16*E16</f>
        <v/>
      </c>
      <c r="G16" s="13" t="inlineStr">
        <is>
          <t>100 套试产工程物料包</t>
        </is>
      </c>
    </row>
    <row r="17" ht="33" customHeight="1" s="39">
      <c r="A17" s="2" t="inlineStr">
        <is>
          <t>HW-13</t>
        </is>
      </c>
      <c r="B17" s="3" t="inlineStr">
        <is>
          <t>13. 脸谱彩绘与表面喷涂处理</t>
        </is>
      </c>
      <c r="C17" s="4" t="inlineStr">
        <is>
          <t>首批 100 套样品川剧脸谱图案高精移印/彩绘、UV耐磨保护漆加工</t>
        </is>
      </c>
      <c r="D17" s="17" t="n">
        <v>100</v>
      </c>
      <c r="E17" s="57" t="n">
        <v>45</v>
      </c>
      <c r="F17" s="47">
        <f>D17*E17</f>
        <v/>
      </c>
      <c r="G17" s="7" t="inlineStr">
        <is>
          <t>成品脸谱饰件 100 套</t>
        </is>
      </c>
    </row>
    <row r="18" ht="33" customHeight="1" s="39">
      <c r="A18" s="8" t="inlineStr">
        <is>
          <t>HW-14</t>
        </is>
      </c>
      <c r="B18" s="9" t="inlineStr">
        <is>
          <t>14. 试产组装、测试与封装</t>
        </is>
      </c>
      <c r="C18" s="10" t="inlineStr">
        <is>
          <t>100 套试用耳机试产车间组装、气密性/电性能/BLE测试、精致文创礼盒包装</t>
        </is>
      </c>
      <c r="D18" s="18" t="n">
        <v>100</v>
      </c>
      <c r="E18" s="58" t="n">
        <v>45</v>
      </c>
      <c r="F18" s="49">
        <f>D18*E18</f>
        <v/>
      </c>
      <c r="G18" s="13" t="inlineStr">
        <is>
          <t>完成组装合格耳机成品 100 套</t>
        </is>
      </c>
    </row>
    <row r="19" ht="15.75" customHeight="1" s="39">
      <c r="A19" s="36" t="inlineStr">
        <is>
          <t>小计二：打样、测试治具与100套试产费用</t>
        </is>
      </c>
      <c r="B19" s="53" t="n"/>
      <c r="C19" s="54" t="n"/>
      <c r="D19" s="19" t="inlineStr">
        <is>
          <t>-</t>
        </is>
      </c>
      <c r="E19" s="19" t="inlineStr">
        <is>
          <t>-</t>
        </is>
      </c>
      <c r="F19" s="55">
        <f>SUM(F13:F18)</f>
        <v/>
      </c>
      <c r="G19" s="21" t="inlineStr">
        <is>
          <t>包含100套全功能川剧专属蓝牙耳机成品交付</t>
        </is>
      </c>
    </row>
    <row r="20" ht="15.75" customHeight="1" s="39">
      <c r="A20" s="36" t="inlineStr">
        <is>
          <t>硬件研发、模具与试产总计</t>
        </is>
      </c>
      <c r="B20" s="53" t="n"/>
      <c r="C20" s="53" t="n"/>
      <c r="D20" s="53" t="n"/>
      <c r="E20" s="54" t="n"/>
      <c r="F20" s="55">
        <f>F11+F19</f>
        <v/>
      </c>
      <c r="G20" s="21" t="inlineStr">
        <is>
          <t>研发开模 266,000 + 试产样品 47,000</t>
        </is>
      </c>
    </row>
  </sheetData>
  <mergeCells count="5">
    <mergeCell ref="A19:C19"/>
    <mergeCell ref="A1:G1"/>
    <mergeCell ref="A11:C11"/>
    <mergeCell ref="A20:E20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2026-08-10T10:18:00Z</dcterms:created>
  <dcterms:modified xmlns:dcterms="http://purl.org/dc/terms/" xmlns:xsi="http://www.w3.org/2001/XMLSchema-instance" xsi:type="dcterms:W3CDTF">2026-09-16T22:47:31Z</dcterms:modified>
  <cp:lastModifiedBy>adep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27A59BB9C0B54C59BDF6167AE98CC302_12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