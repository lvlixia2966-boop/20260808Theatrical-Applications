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a2f20e623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三_实时对话翻译报价" sheetId="1" r:id="R5b990af3f920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0"/>
  </x:numFmts>
  <x:fonts count="28">
    <x:font>
      <x:sz val="11"/>
      <x:name val="Carlito"/>
    </x:font>
    <x:font>
      <x:b/>
      <x:sz val="18"/>
      <x:color rgb="FFFFFFFF"/>
      <x:name val="Carlito"/>
    </x:font>
    <x:font>
      <x:sz val="11"/>
      <x:color rgb="FF4B1621"/>
      <x:name val="Carlito"/>
    </x:font>
    <x:font>
      <x:sz val="10"/>
      <x:color rgb="FF2D2926"/>
      <x:name val="Carlito"/>
    </x:font>
    <x:font>
      <x:b/>
      <x:sz val="10"/>
      <x:color rgb="FF4B1621"/>
      <x:name val="Carlito"/>
    </x:font>
    <x:font>
      <x:b/>
      <x:sz val="16"/>
      <x:color rgb="FF7A1F2B"/>
      <x:name val="Carlito"/>
    </x:font>
    <x:font>
      <x:b/>
      <x:sz val="12"/>
      <x:color rgb="FF7A1F2B"/>
      <x:name val="Carlito"/>
    </x:font>
    <x:font>
      <x:b/>
      <x:sz val="10"/>
      <x:color rgb="FFFFFFFF"/>
      <x:name val="Carlito"/>
    </x:font>
    <x:font>
      <x:sz val="9"/>
      <x:color rgb="FF2D2926"/>
      <x:name val="Carlito"/>
    </x:font>
    <x:font>
      <x:b/>
      <x:sz val="9"/>
      <x:color rgb="FF4B1621"/>
      <x:name val="Carlito"/>
    </x:font>
    <x:font>
      <x:sz val="9"/>
      <x:color rgb="FF1F4E78"/>
      <x:name val="Carlito"/>
    </x:font>
    <x:font>
      <x:b/>
      <x:sz val="12"/>
      <x:color rgb="FFFFFFFF"/>
      <x:name val="Carlito"/>
    </x:font>
    <x:font>
      <x:b/>
      <x:sz val="11"/>
      <x:color rgb="FF4B1621"/>
      <x:name val="Carlito"/>
    </x:font>
    <x:font>
      <x:sz val="9"/>
      <x:color rgb="FF6B625B"/>
      <x:name val="Carlito"/>
    </x:font>
    <x:font>
      <x:b/>
      <x:sz val="18"/>
      <x:color rgb="FFFFFFFF"/>
      <x:name val="Microsoft YaHei"/>
    </x:font>
    <x:font>
      <x:sz val="11"/>
      <x:color rgb="FF4B1621"/>
      <x:name val="Microsoft YaHei"/>
    </x:font>
    <x:font>
      <x:b/>
      <x:sz val="10"/>
      <x:color rgb="FF4B1621"/>
      <x:name val="Microsoft YaHei"/>
    </x:font>
    <x:font>
      <x:sz val="10"/>
      <x:color rgb="FF2D2926"/>
      <x:name val="Microsoft YaHei"/>
    </x:font>
    <x:font>
      <x:b/>
      <x:sz val="16"/>
      <x:color rgb="FF7A1F2B"/>
      <x:name val="Microsoft YaHei"/>
    </x:font>
    <x:font>
      <x:b/>
      <x:sz val="12"/>
      <x:color rgb="FF7A1F2B"/>
      <x:name val="Microsoft YaHei"/>
    </x:font>
    <x:font>
      <x:sz val="11"/>
      <x:name val="Microsoft YaHei"/>
    </x:font>
    <x:font>
      <x:b/>
      <x:sz val="10"/>
      <x:color rgb="FFFFFFFF"/>
      <x:name val="Microsoft YaHei"/>
    </x:font>
    <x:font>
      <x:sz val="9"/>
      <x:color rgb="FF2D2926"/>
      <x:name val="Microsoft YaHei"/>
    </x:font>
    <x:font>
      <x:b/>
      <x:sz val="9"/>
      <x:color rgb="FF4B1621"/>
      <x:name val="Microsoft YaHei"/>
    </x:font>
    <x:font>
      <x:sz val="9"/>
      <x:color rgb="FF1F4E78"/>
      <x:name val="Microsoft YaHei"/>
    </x:font>
    <x:font>
      <x:b/>
      <x:sz val="12"/>
      <x:color rgb="FFFFFFFF"/>
      <x:name val="Microsoft YaHei"/>
    </x:font>
    <x:font>
      <x:b/>
      <x:sz val="11"/>
      <x:color rgb="FF4B1621"/>
      <x:name val="Microsoft YaHei"/>
    </x:font>
    <x:font>
      <x:sz val="9"/>
      <x:color rgb="FF6B625B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7A1F2B"/>
      </x:patternFill>
    </x:fill>
    <x:fill>
      <x:patternFill patternType="solid">
        <x:fgColor rgb="FFF7EFE3"/>
      </x:patternFill>
    </x:fill>
    <x:fill>
      <x:patternFill patternType="solid">
        <x:fgColor rgb="FFFCF9F4"/>
      </x:patternFill>
    </x:fill>
    <x:fill>
      <x:patternFill patternType="solid">
        <x:fgColor rgb="FFFFF0C7"/>
      </x:patternFill>
    </x:fill>
    <x:fill>
      <x:patternFill patternType="solid">
        <x:fgColor rgb="FF4B1621"/>
      </x:patternFill>
    </x:fill>
    <x:fill>
      <x:patternFill patternType="solid">
        <x:fgColor rgb="FFF3ECE5"/>
      </x:patternFill>
    </x:fill>
    <x:fill>
      <x:patternFill patternType="solid">
        <x:fgColor rgb="FFF2F6FA"/>
      </x:patternFill>
    </x:fill>
    <x:fill>
      <x:patternFill patternType="solid">
        <x:fgColor rgb="FFEDF5EE"/>
      </x:patternFill>
    </x:fill>
    <x:fill>
      <x:patternFill patternType="solid">
        <x:fgColor rgb="FFD6A64F"/>
      </x:patternFill>
    </x:fill>
  </x:fills>
  <x:borders count="19">
    <x:border/>
    <x:border>
      <x:right style="thin">
        <x:color rgb="FFD8CEC2"/>
      </x:right>
      <x:bottom style="thin">
        <x:color rgb="FFD8CEC2"/>
      </x:bottom>
    </x:border>
    <x:border>
      <x:left style="thin">
        <x:color rgb="FFD8CEC2"/>
      </x:left>
      <x:right style="thin">
        <x:color rgb="FFD8CEC2"/>
      </x:right>
      <x:bottom style="thin">
        <x:color rgb="FFD8CEC2"/>
      </x:bottom>
    </x:border>
    <x:border>
      <x:left style="thin">
        <x:color rgb="FFD8CEC2"/>
      </x:left>
      <x:bottom style="thin">
        <x:color rgb="FFD8CEC2"/>
      </x:bottom>
    </x:border>
    <x:border>
      <x:right style="thin">
        <x:color rgb="FFD8CEC2"/>
      </x:right>
      <x:top style="thin">
        <x:color rgb="FFD8CEC2"/>
      </x:top>
      <x:bottom style="thin">
        <x:color rgb="FFD8CEC2"/>
      </x:bottom>
    </x:border>
    <x:border>
      <x:left style="thin">
        <x:color rgb="FFD8CEC2"/>
      </x:left>
      <x:right style="thin">
        <x:color rgb="FFD8CEC2"/>
      </x:right>
      <x:top style="thin">
        <x:color rgb="FFD8CEC2"/>
      </x:top>
      <x:bottom style="thin">
        <x:color rgb="FFD8CEC2"/>
      </x:bottom>
    </x:border>
    <x:border>
      <x:left style="thin">
        <x:color rgb="FFD8CEC2"/>
      </x:left>
      <x:top style="thin">
        <x:color rgb="FFD8CEC2"/>
      </x:top>
      <x:bottom style="thin">
        <x:color rgb="FFD8CEC2"/>
      </x:bottom>
    </x:border>
    <x:border>
      <x:right style="thin">
        <x:color rgb="FFD8CEC2"/>
      </x:right>
      <x:top style="thin">
        <x:color rgb="FFD8CEC2"/>
      </x:top>
    </x:border>
    <x:border>
      <x:left style="thin">
        <x:color rgb="FFD8CEC2"/>
      </x:left>
      <x:right style="thin">
        <x:color rgb="FFD8CEC2"/>
      </x:right>
      <x:top style="thin">
        <x:color rgb="FFD8CEC2"/>
      </x:top>
    </x:border>
    <x:border>
      <x:left style="thin">
        <x:color rgb="FFD8CEC2"/>
      </x:left>
      <x:top style="thin">
        <x:color rgb="FFD8CEC2"/>
      </x:top>
    </x:border>
    <x:border>
      <x:left style="thin">
        <x:color rgb="FFB98A92"/>
      </x:left>
      <x:right style="thin">
        <x:color rgb="FFB98A92"/>
      </x:right>
      <x:top style="thin">
        <x:color rgb="FFB98A92"/>
      </x:top>
      <x:bottom style="thin">
        <x:color rgb="FFB98A92"/>
      </x:bottom>
    </x:border>
    <x:border>
      <x:bottom style="thin">
        <x:color rgb="FFD8CEC2"/>
      </x:bottom>
    </x:border>
    <x:border>
      <x:top style="thin">
        <x:color rgb="FFD8CEC2"/>
      </x:top>
      <x:bottom style="thin">
        <x:color rgb="FFD8CEC2"/>
      </x:bottom>
    </x:border>
    <x:border>
      <x:left style="medium">
        <x:color rgb="FF4B1621"/>
      </x:left>
      <x:top style="medium">
        <x:color rgb="FF4B1621"/>
      </x:top>
      <x:bottom style="medium">
        <x:color rgb="FF4B1621"/>
      </x:bottom>
    </x:border>
    <x:border>
      <x:top style="medium">
        <x:color rgb="FF4B1621"/>
      </x:top>
      <x:bottom style="medium">
        <x:color rgb="FF4B1621"/>
      </x:bottom>
    </x:border>
    <x:border>
      <x:right style="medium">
        <x:color rgb="FF4B1621"/>
      </x:right>
      <x:top style="medium">
        <x:color rgb="FF4B1621"/>
      </x:top>
      <x:bottom style="medium">
        <x:color rgb="FF4B1621"/>
      </x:bottom>
    </x:border>
    <x:border>
      <x:bottom style="thin">
        <x:color rgb="FFE8E0D7"/>
      </x:bottom>
    </x:border>
    <x:border>
      <x:top style="thin">
        <x:color rgb="FFE8E0D7"/>
      </x:top>
      <x:bottom style="thin">
        <x:color rgb="FFE8E0D7"/>
      </x:bottom>
    </x:border>
    <x:border>
      <x:top style="thin">
        <x:color rgb="FFE8E0D7"/>
      </x:top>
    </x:border>
  </x:borders>
  <x:cellStyleXfs count="1">
    <x:xf numFmtId="0" fontId="0" fillId="0" borderId="0"/>
  </x:cellStyleXfs>
  <x:cellXfs count="1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200" fontId="5" fillId="5" borderId="8" xfId="0" applyNumberFormat="1" applyFont="1" applyFill="1" applyBorder="1" applyAlignment="1">
      <x:alignment vertical="center" wrapText="1"/>
    </x:xf>
    <x:xf numFmtId="200" fontId="5" fillId="5" borderId="8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200" fontId="6" fillId="5" borderId="9" xfId="0" applyNumberFormat="1" applyFont="1" applyFill="1" applyBorder="1" applyAlignment="1">
      <x:alignment vertical="center" wrapText="1"/>
    </x:xf>
    <x:xf numFmtId="200" fontId="6" fillId="5" borderId="9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0" xfId="0" applyNumberFormat="1" applyFont="1" applyFill="1" applyBorder="1"/>
    <x:xf numFmtId="0" fontId="7" fillId="6" borderId="10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horizontal="center" wrapText="1"/>
    </x:xf>
    <x:xf numFmtId="0" fontId="7" fillId="6" borderId="1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8" fillId="0" borderId="12" xfId="0" applyNumberFormat="1" applyFont="1" applyFill="1" applyBorder="1" applyAlignment="1">
      <x:alignment horizontal="center"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11" xfId="0" applyNumberFormat="1" applyFont="1" applyFill="1" applyBorder="1" applyAlignment="1">
      <x:alignment horizontal="center" vertical="center" wrapText="1"/>
    </x:xf>
    <x:xf numFmtId="0" fontId="9" fillId="7" borderId="12" xfId="0" applyNumberFormat="1" applyFont="1" applyFill="1" applyBorder="1" applyAlignment="1">
      <x:alignment horizontal="center"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201" fontId="10" fillId="0" borderId="11" xfId="0" applyNumberFormat="1" applyFont="1" applyFill="1" applyBorder="1" applyAlignment="1">
      <x:alignment vertical="center" wrapText="1"/>
    </x:xf>
    <x:xf numFmtId="201" fontId="10" fillId="0" borderId="12" xfId="0" applyNumberFormat="1" applyFont="1" applyFill="1" applyBorder="1" applyAlignment="1">
      <x:alignment vertical="center" wrapText="1"/>
    </x:xf>
    <x:xf numFmtId="201" fontId="10" fillId="0" borderId="11" xfId="0" applyNumberFormat="1" applyFont="1" applyFill="1" applyBorder="1" applyAlignment="1">
      <x:alignment horizontal="center" vertical="center" wrapText="1"/>
    </x:xf>
    <x:xf numFmtId="201" fontId="10" fillId="0" borderId="12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200" fontId="8" fillId="8" borderId="11" xfId="0" applyNumberFormat="1" applyFont="1" applyFill="1" applyBorder="1" applyAlignment="1">
      <x:alignment vertical="center" wrapText="1"/>
    </x:xf>
    <x:xf numFmtId="200" fontId="8" fillId="8" borderId="12" xfId="0" applyNumberFormat="1" applyFont="1" applyFill="1" applyBorder="1" applyAlignment="1">
      <x:alignment vertical="center" wrapText="1"/>
    </x:xf>
    <x:xf numFmtId="200" fontId="8" fillId="8" borderId="11" xfId="0" applyNumberFormat="1" applyFont="1" applyFill="1" applyBorder="1" applyAlignment="1">
      <x:alignment horizontal="right" vertical="center" wrapText="1"/>
    </x:xf>
    <x:xf numFmtId="200" fontId="8" fillId="8" borderId="12" xfId="0" applyNumberFormat="1" applyFont="1" applyFill="1" applyBorder="1" applyAlignment="1">
      <x:alignment horizontal="right"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200" fontId="8" fillId="9" borderId="11" xfId="0" applyNumberFormat="1" applyFont="1" applyFill="1" applyBorder="1" applyAlignment="1">
      <x:alignment vertical="center" wrapText="1"/>
    </x:xf>
    <x:xf numFmtId="200" fontId="8" fillId="9" borderId="12" xfId="0" applyNumberFormat="1" applyFont="1" applyFill="1" applyBorder="1" applyAlignment="1">
      <x:alignment vertical="center" wrapText="1"/>
    </x:xf>
    <x:xf numFmtId="200" fontId="8" fillId="9" borderId="11" xfId="0" applyNumberFormat="1" applyFont="1" applyFill="1" applyBorder="1" applyAlignment="1">
      <x:alignment horizontal="right" vertical="center" wrapText="1"/>
    </x:xf>
    <x:xf numFmtId="200" fontId="8" fillId="9" borderId="12" xfId="0" applyNumberFormat="1" applyFont="1" applyFill="1" applyBorder="1" applyAlignment="1">
      <x:alignment horizontal="right" vertical="center" wrapText="1"/>
    </x:xf>
    <x:xf numFmtId="0" fontId="11" fillId="2" borderId="0" xfId="0" applyNumberFormat="1" applyFont="1" applyFill="1" applyBorder="1"/>
    <x:xf numFmtId="0" fontId="11" fillId="2" borderId="13" xfId="0" applyNumberFormat="1" applyFont="1" applyFill="1" applyBorder="1"/>
    <x:xf numFmtId="0" fontId="11" fillId="2" borderId="14" xfId="0" applyNumberFormat="1" applyFont="1" applyFill="1" applyBorder="1"/>
    <x:xf numFmtId="0" fontId="11" fillId="2" borderId="15" xfId="0" applyNumberFormat="1" applyFont="1" applyFill="1" applyBorder="1"/>
    <x:xf numFmtId="0" fontId="11" fillId="2" borderId="13" xfId="0" applyNumberFormat="1" applyFont="1" applyFill="1" applyBorder="1" applyAlignment="1">
      <x:alignment vertical="center"/>
    </x:xf>
    <x:xf numFmtId="0" fontId="11" fillId="2" borderId="14" xfId="0" applyNumberFormat="1" applyFont="1" applyFill="1" applyBorder="1" applyAlignment="1">
      <x:alignment vertical="center"/>
    </x:xf>
    <x:xf numFmtId="0" fontId="11" fillId="2" borderId="15" xfId="0" applyNumberFormat="1" applyFont="1" applyFill="1" applyBorder="1" applyAlignment="1">
      <x:alignment vertical="center"/>
    </x:xf>
    <x:xf numFmtId="200" fontId="11" fillId="2" borderId="15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left"/>
    </x:xf>
    <x:xf numFmtId="0" fontId="12" fillId="10" borderId="0" xfId="0" applyNumberFormat="1" applyFont="1" applyFill="1" applyBorder="1" applyAlignment="1">
      <x:alignment horizontal="left" vertical="center"/>
    </x:xf>
    <x:xf numFmtId="0" fontId="13" fillId="4" borderId="0" xfId="0" applyNumberFormat="1" applyFont="1" applyFill="1" applyBorder="1"/>
    <x:xf numFmtId="0" fontId="13" fillId="4" borderId="16" xfId="0" applyNumberFormat="1" applyFont="1" applyFill="1" applyBorder="1"/>
    <x:xf numFmtId="0" fontId="13" fillId="4" borderId="17" xfId="0" applyNumberFormat="1" applyFont="1" applyFill="1" applyBorder="1"/>
    <x:xf numFmtId="0" fontId="13" fillId="4" borderId="18" xfId="0" applyNumberFormat="1" applyFont="1" applyFill="1" applyBorder="1"/>
    <x:xf numFmtId="0" fontId="13" fillId="4" borderId="16" xfId="0" applyNumberFormat="1" applyFont="1" applyFill="1" applyBorder="1" applyAlignment="1">
      <x:alignment wrapText="1"/>
    </x:xf>
    <x:xf numFmtId="0" fontId="13" fillId="4" borderId="17" xfId="0" applyNumberFormat="1" applyFont="1" applyFill="1" applyBorder="1" applyAlignment="1">
      <x:alignment wrapText="1"/>
    </x:xf>
    <x:xf numFmtId="0" fontId="13" fillId="4" borderId="18" xfId="0" applyNumberFormat="1" applyFont="1" applyFill="1" applyBorder="1" applyAlignment="1">
      <x:alignment wrapText="1"/>
    </x:xf>
    <x:xf numFmtId="0" fontId="13" fillId="4" borderId="16" xfId="0" applyNumberFormat="1" applyFont="1" applyFill="1" applyBorder="1" applyAlignment="1">
      <x:alignment vertical="center" wrapText="1"/>
    </x:xf>
    <x:xf numFmtId="0" fontId="13" fillId="4" borderId="17" xfId="0" applyNumberFormat="1" applyFont="1" applyFill="1" applyBorder="1" applyAlignment="1">
      <x:alignment vertical="center" wrapText="1"/>
    </x:xf>
    <x:xf numFmtId="0" fontId="13" fillId="4" borderId="18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16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3" xfId="0" applyNumberFormat="1" applyFont="1" applyFill="1" applyBorder="1" applyAlignment="1">
      <x:alignment vertical="center" wrapText="1"/>
    </x:xf>
    <x:xf numFmtId="0" fontId="16" fillId="4" borderId="4" xfId="0" applyNumberFormat="1" applyFont="1" applyFill="1" applyBorder="1" applyAlignment="1">
      <x:alignment vertical="center" wrapText="1"/>
    </x:xf>
    <x:xf numFmtId="0" fontId="16" fillId="4" borderId="5" xfId="0" applyNumberFormat="1" applyFont="1" applyFill="1" applyBorder="1" applyAlignment="1">
      <x:alignment vertical="center" wrapText="1"/>
    </x:xf>
    <x:xf numFmtId="0" fontId="17" fillId="4" borderId="5" xfId="0" applyNumberFormat="1" applyFont="1" applyFill="1" applyBorder="1" applyAlignment="1">
      <x:alignment vertical="center" wrapText="1"/>
    </x:xf>
    <x:xf numFmtId="0" fontId="17" fillId="4" borderId="6" xfId="0" applyNumberFormat="1" applyFont="1" applyFill="1" applyBorder="1" applyAlignment="1">
      <x:alignment vertical="center" wrapText="1"/>
    </x:xf>
    <x:xf numFmtId="0" fontId="16" fillId="4" borderId="7" xfId="0" applyNumberFormat="1" applyFont="1" applyFill="1" applyBorder="1" applyAlignment="1">
      <x:alignment vertical="center" wrapText="1"/>
    </x:xf>
    <x:xf numFmtId="0" fontId="16" fillId="4" borderId="8" xfId="0" applyNumberFormat="1" applyFont="1" applyFill="1" applyBorder="1" applyAlignment="1">
      <x:alignment vertical="center" wrapText="1"/>
    </x:xf>
    <x:xf numFmtId="200" fontId="18" fillId="5" borderId="8" xfId="0" applyNumberFormat="1" applyFont="1" applyFill="1" applyBorder="1" applyAlignment="1">
      <x:alignment horizontal="center" vertical="center" wrapText="1"/>
    </x:xf>
    <x:xf numFmtId="200" fontId="19" fillId="5" borderId="9" xfId="0" applyNumberFormat="1" applyFont="1" applyFill="1" applyBorder="1" applyAlignment="1">
      <x:alignment horizontal="right" vertical="center" wrapText="1"/>
    </x:xf>
    <x:xf numFmtId="0" fontId="20" fillId="0" borderId="0" xfId="0" applyNumberFormat="1" applyFont="1" applyFill="1" applyBorder="1"/>
    <x:xf numFmtId="0" fontId="21" fillId="6" borderId="10" xfId="0" applyNumberFormat="1" applyFont="1" applyFill="1" applyBorder="1" applyAlignment="1">
      <x:alignment horizontal="center" vertical="center" wrapText="1"/>
    </x:xf>
    <x:xf numFmtId="0" fontId="22" fillId="0" borderId="11" xfId="0" applyNumberFormat="1" applyFont="1" applyFill="1" applyBorder="1" applyAlignment="1">
      <x:alignment horizontal="center" vertical="center" wrapText="1"/>
    </x:xf>
    <x:xf numFmtId="0" fontId="23" fillId="7" borderId="11" xfId="0" applyNumberFormat="1" applyFont="1" applyFill="1" applyBorder="1" applyAlignment="1">
      <x:alignment horizontal="center" vertical="center" wrapText="1"/>
    </x:xf>
    <x:xf numFmtId="0" fontId="22" fillId="0" borderId="11" xfId="0" applyNumberFormat="1" applyFont="1" applyFill="1" applyBorder="1" applyAlignment="1">
      <x:alignment vertical="center" wrapText="1"/>
    </x:xf>
    <x:xf numFmtId="201" fontId="24" fillId="0" borderId="11" xfId="0" applyNumberFormat="1" applyFont="1" applyFill="1" applyBorder="1" applyAlignment="1">
      <x:alignment horizontal="center" vertical="center" wrapText="1"/>
    </x:xf>
    <x:xf numFmtId="200" fontId="22" fillId="8" borderId="11" xfId="0" applyNumberFormat="1" applyFont="1" applyFill="1" applyBorder="1" applyAlignment="1">
      <x:alignment horizontal="right" vertical="center" wrapText="1"/>
    </x:xf>
    <x:xf numFmtId="200" fontId="22" fillId="9" borderId="11" xfId="0" applyNumberFormat="1" applyFont="1" applyFill="1" applyBorder="1" applyAlignment="1">
      <x:alignment horizontal="right" vertical="center" wrapText="1"/>
    </x:xf>
    <x:xf numFmtId="0" fontId="22" fillId="0" borderId="12" xfId="0" applyNumberFormat="1" applyFont="1" applyFill="1" applyBorder="1" applyAlignment="1">
      <x:alignment horizontal="center" vertical="center" wrapText="1"/>
    </x:xf>
    <x:xf numFmtId="0" fontId="23" fillId="7" borderId="12" xfId="0" applyNumberFormat="1" applyFont="1" applyFill="1" applyBorder="1" applyAlignment="1">
      <x:alignment horizontal="center" vertical="center" wrapText="1"/>
    </x:xf>
    <x:xf numFmtId="0" fontId="22" fillId="0" borderId="12" xfId="0" applyNumberFormat="1" applyFont="1" applyFill="1" applyBorder="1" applyAlignment="1">
      <x:alignment vertical="center" wrapText="1"/>
    </x:xf>
    <x:xf numFmtId="201" fontId="24" fillId="0" borderId="12" xfId="0" applyNumberFormat="1" applyFont="1" applyFill="1" applyBorder="1" applyAlignment="1">
      <x:alignment horizontal="center" vertical="center" wrapText="1"/>
    </x:xf>
    <x:xf numFmtId="200" fontId="22" fillId="8" borderId="12" xfId="0" applyNumberFormat="1" applyFont="1" applyFill="1" applyBorder="1" applyAlignment="1">
      <x:alignment horizontal="right" vertical="center" wrapText="1"/>
    </x:xf>
    <x:xf numFmtId="200" fontId="22" fillId="9" borderId="12" xfId="0" applyNumberFormat="1" applyFont="1" applyFill="1" applyBorder="1" applyAlignment="1">
      <x:alignment horizontal="right" vertical="center" wrapText="1"/>
    </x:xf>
    <x:xf numFmtId="0" fontId="25" fillId="2" borderId="13" xfId="0" applyNumberFormat="1" applyFont="1" applyFill="1" applyBorder="1" applyAlignment="1">
      <x:alignment vertical="center"/>
    </x:xf>
    <x:xf numFmtId="0" fontId="25" fillId="2" borderId="14" xfId="0" applyNumberFormat="1" applyFont="1" applyFill="1" applyBorder="1" applyAlignment="1">
      <x:alignment vertical="center"/>
    </x:xf>
    <x:xf numFmtId="200" fontId="25" fillId="2" borderId="15" xfId="0" applyNumberFormat="1" applyFont="1" applyFill="1" applyBorder="1" applyAlignment="1">
      <x:alignment vertical="center"/>
    </x:xf>
    <x:xf numFmtId="0" fontId="26" fillId="10" borderId="0" xfId="0" applyNumberFormat="1" applyFont="1" applyFill="1" applyBorder="1" applyAlignment="1">
      <x:alignment horizontal="left" vertical="center"/>
    </x:xf>
    <x:xf numFmtId="0" fontId="27" fillId="4" borderId="16" xfId="0" applyNumberFormat="1" applyFont="1" applyFill="1" applyBorder="1" applyAlignment="1">
      <x:alignment vertical="center" wrapText="1"/>
    </x:xf>
    <x:xf numFmtId="0" fontId="27" fillId="4" borderId="17" xfId="0" applyNumberFormat="1" applyFont="1" applyFill="1" applyBorder="1" applyAlignment="1">
      <x:alignment vertical="center" wrapText="1"/>
    </x:xf>
    <x:xf numFmtId="0" fontId="27" fillId="4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7e396df6b406f" /><Relationship Type="http://schemas.openxmlformats.org/officeDocument/2006/relationships/theme" Target="/xl/theme/theme1.xml" Id="Rce4074a7b76d4352" /><Relationship Type="http://schemas.openxmlformats.org/officeDocument/2006/relationships/sharedStrings" Target="/xl/sharedStrings.xml" Id="R38c6f6c6b0504c70" /><Relationship Type="http://schemas.openxmlformats.org/officeDocument/2006/relationships/worksheet" Target="/xl/worksheets/sheet1.xml" Id="R5b990af3f920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8" hidden="0" customWidth="1"/>
    <x:col min="4" max="4" width="60" hidden="0" customWidth="1"/>
    <x:col min="5" max="5" width="10" hidden="0" customWidth="1"/>
    <x:col min="6" max="6" width="16" hidden="0" customWidth="1"/>
    <x:col min="7" max="7" width="16" hidden="0" customWidth="1"/>
  </x:cols>
  <x:sheetData>
    <x:row r="1" ht="34" customHeight="1">
      <x:c r="A1" s="114" t="str">
        <x:v>四川省川剧院｜录播导览 + Agent 伴游 + 双端实时对话翻译报价单</x:v>
      </x:c>
      <x:c r="B1" s="114"/>
      <x:c r="C1" s="114"/>
      <x:c r="D1" s="114"/>
      <x:c r="E1" s="114"/>
      <x:c r="F1" s="114"/>
      <x:c r="G1" s="114"/>
    </x:row>
    <x:row r="2" ht="34" customHeight="1">
      <x:c r="A2" s="115" t="str">
        <x:v>东南亚游客在手机 H5 说话，工作人员耳机收听译文；工作人员通过耳机麦克风说话，游客 H5 展示译文</x:v>
      </x:c>
      <x:c r="B2" s="115"/>
      <x:c r="C2" s="115"/>
      <x:c r="D2" s="115"/>
      <x:c r="E2" s="115"/>
      <x:c r="F2" s="115"/>
      <x:c r="G2" s="115"/>
    </x:row>
    <x:row r="3" ht="32" customHeight="1">
      <x:c r="A3" s="116" t="str">
        <x:v>方案定位</x:v>
      </x:c>
      <x:c r="B3" s="117"/>
      <x:c r="C3" s="118" t="str">
        <x:v>适合卖场、景点服务台和导游陪同。双方通过会话二维码进入双端 H5，采用豆包 ASR/翻译/TTS API 完成实时双向交流。</x:v>
      </x:c>
      <x:c r="D3" s="118"/>
      <x:c r="E3" s="118"/>
      <x:c r="F3" s="118"/>
      <x:c r="G3" s="119"/>
    </x:row>
    <x:row r="4" ht="32" customHeight="1">
      <x:c r="A4" s="120" t="str">
        <x:v>建设周期</x:v>
      </x:c>
      <x:c r="B4" s="121"/>
      <x:c r="C4" s="122" t="str">
        <x:v>约 90–105 个工作日（耳机研发与内容/软件并行）</x:v>
      </x:c>
      <x:c r="D4" s="122"/>
      <x:c r="E4" s="121" t="str">
        <x:v>首批硬件口径</x:v>
      </x:c>
      <x:c r="F4" s="121"/>
      <x:c r="G4" s="123" t="str">
        <x:v>50 套验证样机</x:v>
      </x:c>
    </x:row>
    <x:row r="5" ht="32" customHeight="1">
      <x:c r="A5" s="124" t="str">
        <x:v>含税总预算</x:v>
      </x:c>
      <x:c r="B5" s="125"/>
      <x:c r="C5" s="126" t="n">
        <x:f>G35</x:f>
        <x:v>830000</x:v>
      </x:c>
      <x:c r="D5" s="126"/>
      <x:c r="E5" s="125" t="str">
        <x:v>次年起基础运营预算/年</x:v>
      </x:c>
      <x:c r="F5" s="125"/>
      <x:c r="G5" s="127" t="n">
        <x:v>68000</x:v>
      </x:c>
    </x:row>
    <x:row r="6">
      <x:c r="A6" s="128"/>
      <x:c r="B6" s="128"/>
      <x:c r="C6" s="128"/>
      <x:c r="D6" s="128"/>
      <x:c r="E6" s="128"/>
      <x:c r="F6" s="128"/>
      <x:c r="G6" s="128"/>
    </x:row>
    <x:row r="7" ht="36" customHeight="1">
      <x:c r="A7" s="129" t="str">
        <x:v>序号</x:v>
      </x:c>
      <x:c r="B7" s="129" t="str">
        <x:v>成本类别</x:v>
      </x:c>
      <x:c r="C7" s="129" t="str">
        <x:v>软硬件/服务项目</x:v>
      </x:c>
      <x:c r="D7" s="129" t="str">
        <x:v>规格、范围与实现说明</x:v>
      </x:c>
      <x:c r="E7" s="129" t="str">
        <x:v>数量</x:v>
      </x:c>
      <x:c r="F7" s="129" t="str">
        <x:v>含税单价（元）</x:v>
      </x:c>
      <x:c r="G7" s="129" t="str">
        <x:v>含税金额（元）</x:v>
      </x:c>
    </x:row>
    <x:row r="8" ht="42" customHeight="1">
      <x:c r="A8" s="130" t="n">
        <x:v>1</x:v>
      </x:c>
      <x:c r="B8" s="131" t="str">
        <x:v>硬件</x:v>
      </x:c>
      <x:c r="C8" s="132" t="str">
        <x:v>文创耳机工业设计 ID / CMF</x:v>
      </x:c>
      <x:c r="D8" s="132" t="str">
        <x:v>川剧脸谱、变脸、戏服纹样与人体工学外观；含耳机及充电盒设计</x:v>
      </x:c>
      <x:c r="E8" s="133" t="n">
        <x:v>1</x:v>
      </x:c>
      <x:c r="F8" s="134" t="n">
        <x:v>22000</x:v>
      </x:c>
      <x:c r="G8" s="135" t="n">
        <x:f>E8*F8</x:f>
        <x:v>22000</x:v>
      </x:c>
    </x:row>
    <x:row r="9" ht="42" customHeight="1">
      <x:c r="A9" s="136" t="n">
        <x:v>2</x:v>
      </x:c>
      <x:c r="B9" s="137" t="str">
        <x:v>硬件</x:v>
      </x:c>
      <x:c r="C9" s="138" t="str">
        <x:v>结构、声学、电路与固件适配</x:v>
      </x:c>
      <x:c r="D9" s="138" t="str">
        <x:v>蓝牙 5.3/5.4、优先使用耳机麦克风、回声控制、电源与低功耗固件</x:v>
      </x:c>
      <x:c r="E9" s="139" t="n">
        <x:v>1</x:v>
      </x:c>
      <x:c r="F9" s="140" t="n">
        <x:v>42000</x:v>
      </x:c>
      <x:c r="G9" s="141" t="n">
        <x:f>E9*F9</x:f>
        <x:v>42000</x:v>
      </x:c>
    </x:row>
    <x:row r="10" ht="42" customHeight="1">
      <x:c r="A10" s="136" t="n">
        <x:v>3</x:v>
      </x:c>
      <x:c r="B10" s="137" t="str">
        <x:v>硬件</x:v>
      </x:c>
      <x:c r="C10" s="138" t="str">
        <x:v>耳机及充电盒精密模具</x:v>
      </x:c>
      <x:c r="D10" s="138" t="str">
        <x:v>专属外壳与充电盒注塑模具、T0/T1 试模及表面纹理调校</x:v>
      </x:c>
      <x:c r="E10" s="139" t="n">
        <x:v>1</x:v>
      </x:c>
      <x:c r="F10" s="140" t="n">
        <x:v>55000</x:v>
      </x:c>
      <x:c r="G10" s="141" t="n">
        <x:f>E10*F10</x:f>
        <x:v>55000</x:v>
      </x:c>
    </x:row>
    <x:row r="11" ht="42" customHeight="1">
      <x:c r="A11" s="136" t="n">
        <x:v>4</x:v>
      </x:c>
      <x:c r="B11" s="137" t="str">
        <x:v>硬件</x:v>
      </x:c>
      <x:c r="C11" s="138" t="str">
        <x:v>送检与认证预算</x:v>
      </x:c>
      <x:c r="D11" s="138" t="str">
        <x:v>SRRC/CE/IP 等按最终销售区域选做；本表按基础认证预算计入</x:v>
      </x:c>
      <x:c r="E11" s="139" t="n">
        <x:v>1</x:v>
      </x:c>
      <x:c r="F11" s="140" t="n">
        <x:v>30000</x:v>
      </x:c>
      <x:c r="G11" s="141" t="n">
        <x:f>E11*F11</x:f>
        <x:v>30000</x:v>
      </x:c>
    </x:row>
    <x:row r="12" ht="42" customHeight="1">
      <x:c r="A12" s="136" t="n">
        <x:v>5</x:v>
      </x:c>
      <x:c r="B12" s="137" t="str">
        <x:v>硬件</x:v>
      </x:c>
      <x:c r="C12" s="138" t="str">
        <x:v>首批验证样机</x:v>
      </x:c>
      <x:c r="D12" s="138" t="str">
        <x:v>50 套耳机、充电盒、脸谱彩绘、组装全检及文创包装</x:v>
      </x:c>
      <x:c r="E12" s="139" t="n">
        <x:v>50</x:v>
      </x:c>
      <x:c r="F12" s="140" t="n">
        <x:v>500</x:v>
      </x:c>
      <x:c r="G12" s="141" t="n">
        <x:f>E12*F12</x:f>
        <x:v>25000</x:v>
      </x:c>
    </x:row>
    <x:row r="13" ht="42" customHeight="1">
      <x:c r="A13" s="136" t="n">
        <x:v>6</x:v>
      </x:c>
      <x:c r="B13" s="137" t="str">
        <x:v>软件</x:v>
      </x:c>
      <x:c r="C13" s="138" t="str">
        <x:v>多语言录播导览 H5</x:v>
      </x:c>
      <x:c r="D13" s="138" t="str">
        <x:v>语言选择、内容点播、同步字幕与节点切换</x:v>
      </x:c>
      <x:c r="E13" s="139" t="n">
        <x:v>1</x:v>
      </x:c>
      <x:c r="F13" s="140" t="n">
        <x:v>28000</x:v>
      </x:c>
      <x:c r="G13" s="141" t="n">
        <x:f>E13*F13</x:f>
        <x:v>28000</x:v>
      </x:c>
    </x:row>
    <x:row r="14" ht="42" customHeight="1">
      <x:c r="A14" s="136" t="n">
        <x:v>7</x:v>
      </x:c>
      <x:c r="B14" s="137" t="str">
        <x:v>内容</x:v>
      </x:c>
      <x:c r="C14" s="138" t="str">
        <x:v>导览脚本与内容编目（基础包）</x:v>
      </x:c>
      <x:c r="D14" s="138" t="str">
        <x:v>默认 30 条内容、单条中文母稿不超过 3 分钟</x:v>
      </x:c>
      <x:c r="E14" s="139" t="n">
        <x:v>1</x:v>
      </x:c>
      <x:c r="F14" s="140" t="n">
        <x:v>12000</x:v>
      </x:c>
      <x:c r="G14" s="141" t="n">
        <x:f>E14*F14</x:f>
        <x:v>12000</x:v>
      </x:c>
    </x:row>
    <x:row r="15" ht="42" customHeight="1">
      <x:c r="A15" s="136" t="n">
        <x:v>8</x:v>
      </x:c>
      <x:c r="B15" s="137" t="str">
        <x:v>AI/API</x:v>
      </x:c>
      <x:c r="C15" s="138" t="str">
        <x:v>豆包翻译与多语 TTS 录制生产（基础包）</x:v>
      </x:c>
      <x:c r="D15" s="138" t="str">
        <x:v>默认 12 种目标语言；批量生成、人工抽检、术语纠错与音频切分</x:v>
      </x:c>
      <x:c r="E15" s="139" t="n">
        <x:v>1</x:v>
      </x:c>
      <x:c r="F15" s="140" t="n">
        <x:v>18000</x:v>
      </x:c>
      <x:c r="G15" s="141" t="n">
        <x:f>E15*F15</x:f>
        <x:v>18000</x:v>
      </x:c>
    </x:row>
    <x:row r="16" ht="42" customHeight="1">
      <x:c r="A16" s="136" t="n">
        <x:v>9</x:v>
      </x:c>
      <x:c r="B16" s="137" t="str">
        <x:v>Agent</x:v>
      </x:c>
      <x:c r="C16" s="138" t="str">
        <x:v>H5 Agent 伴游交互系统</x:v>
      </x:c>
      <x:c r="D16" s="138" t="str">
        <x:v>多语言文本/语音问答、上下文、引用来源与安全降级</x:v>
      </x:c>
      <x:c r="E16" s="139" t="n">
        <x:v>1</x:v>
      </x:c>
      <x:c r="F16" s="140" t="n">
        <x:v>32000</x:v>
      </x:c>
      <x:c r="G16" s="141" t="n">
        <x:f>E16*F16</x:f>
        <x:v>32000</x:v>
      </x:c>
    </x:row>
    <x:row r="17" ht="42" customHeight="1">
      <x:c r="A17" s="136" t="n">
        <x:v>10</x:v>
      </x:c>
      <x:c r="B17" s="137" t="str">
        <x:v>知识</x:v>
      </x:c>
      <x:c r="C17" s="138" t="str">
        <x:v>知识图谱与 RAG 检索底座</x:v>
      </x:c>
      <x:c r="D17" s="138" t="str">
        <x:v>实体关系、向量检索、混合召回、答案编排与审核流程</x:v>
      </x:c>
      <x:c r="E17" s="139" t="n">
        <x:v>1</x:v>
      </x:c>
      <x:c r="F17" s="140" t="n">
        <x:v>22000</x:v>
      </x:c>
      <x:c r="G17" s="141" t="n">
        <x:f>E17*F17</x:f>
        <x:v>22000</x:v>
      </x:c>
    </x:row>
    <x:row r="18" ht="42" customHeight="1">
      <x:c r="A18" s="136" t="n">
        <x:v>11</x:v>
      </x:c>
      <x:c r="B18" s="137" t="str">
        <x:v>知识</x:v>
      </x:c>
      <x:c r="C18" s="138" t="str">
        <x:v>节点知识采集与内容加工（基础包）</x:v>
      </x:c>
      <x:c r="D18" s="138" t="str">
        <x:v>默认 10 个节点、约 500 条知识单元及验收问集</x:v>
      </x:c>
      <x:c r="E18" s="139" t="n">
        <x:v>1</x:v>
      </x:c>
      <x:c r="F18" s="140" t="n">
        <x:v>30000</x:v>
      </x:c>
      <x:c r="G18" s="141" t="n">
        <x:f>E18*F18</x:f>
        <x:v>30000</x:v>
      </x:c>
    </x:row>
    <x:row r="19" ht="42" customHeight="1">
      <x:c r="A19" s="136" t="n">
        <x:v>12</x:v>
      </x:c>
      <x:c r="B19" s="137" t="str">
        <x:v>AI/API</x:v>
      </x:c>
      <x:c r="C19" s="138" t="str">
        <x:v>豆包大模型接入与 Agent 编排</x:v>
      </x:c>
      <x:c r="D19" s="138" t="str">
        <x:v>模型路由、提示词、工具调用、内容安全、会话记忆和多语言输出</x:v>
      </x:c>
      <x:c r="E19" s="139" t="n">
        <x:v>1</x:v>
      </x:c>
      <x:c r="F19" s="140" t="n">
        <x:v>18000</x:v>
      </x:c>
      <x:c r="G19" s="141" t="n">
        <x:f>E19*F19</x:f>
        <x:v>18000</x:v>
      </x:c>
    </x:row>
    <x:row r="20" ht="42" customHeight="1">
      <x:c r="A20" s="136" t="n">
        <x:v>13</x:v>
      </x:c>
      <x:c r="B20" s="137" t="str">
        <x:v>平台</x:v>
      </x:c>
      <x:c r="C20" s="138" t="str">
        <x:v>后台、二维码与知识运营工具</x:v>
      </x:c>
      <x:c r="D20" s="138" t="str">
        <x:v>内容/知识管理、设备与会话二维码、统计、日志与权限</x:v>
      </x:c>
      <x:c r="E20" s="139" t="n">
        <x:v>1</x:v>
      </x:c>
      <x:c r="F20" s="140" t="n">
        <x:v>26000</x:v>
      </x:c>
      <x:c r="G20" s="141" t="n">
        <x:f>E20*F20</x:f>
        <x:v>26000</x:v>
      </x:c>
    </x:row>
    <x:row r="21" ht="42" customHeight="1">
      <x:c r="A21" s="136" t="n">
        <x:v>14</x:v>
      </x:c>
      <x:c r="B21" s="137" t="str">
        <x:v>实时翻译</x:v>
      </x:c>
      <x:c r="C21" s="138" t="str">
        <x:v>游客端 + 工作人员端双 H5</x:v>
      </x:c>
      <x:c r="D21" s="138" t="str">
        <x:v>会话建立、语言选择、按住说话、状态提示、断线重连与无障碍布局</x:v>
      </x:c>
      <x:c r="E21" s="139" t="n">
        <x:v>1</x:v>
      </x:c>
      <x:c r="F21" s="140" t="n">
        <x:v>28000</x:v>
      </x:c>
      <x:c r="G21" s="141" t="n">
        <x:f>E21*F21</x:f>
        <x:v>28000</x:v>
      </x:c>
    </x:row>
    <x:row r="22" ht="42" customHeight="1">
      <x:c r="A22" s="136" t="n">
        <x:v>15</x:v>
      </x:c>
      <x:c r="B22" s="137" t="str">
        <x:v>实时翻译</x:v>
      </x:c>
      <x:c r="C22" s="138" t="str">
        <x:v>WebRTC/流式音频网关</x:v>
      </x:c>
      <x:c r="D22" s="138" t="str">
        <x:v>双端低延迟音频采集与转发、Opus 分片、会话鉴权、拥塞与弱网处理</x:v>
      </x:c>
      <x:c r="E22" s="139" t="n">
        <x:v>1</x:v>
      </x:c>
      <x:c r="F22" s="140" t="n">
        <x:v>38000</x:v>
      </x:c>
      <x:c r="G22" s="141" t="n">
        <x:f>E22*F22</x:f>
        <x:v>38000</x:v>
      </x:c>
    </x:row>
    <x:row r="23" ht="42" customHeight="1">
      <x:c r="A23" s="136" t="n">
        <x:v>16</x:v>
      </x:c>
      <x:c r="B23" s="137" t="str">
        <x:v>AI/API</x:v>
      </x:c>
      <x:c r="C23" s="138" t="str">
        <x:v>豆包流式 ASR/翻译/TTS 编排</x:v>
      </x:c>
      <x:c r="D23" s="138" t="str">
        <x:v>流式识别、分句、翻译、语音合成、术语表、失败重试与用量计量</x:v>
      </x:c>
      <x:c r="E23" s="139" t="n">
        <x:v>1</x:v>
      </x:c>
      <x:c r="F23" s="140" t="n">
        <x:v>30000</x:v>
      </x:c>
      <x:c r="G23" s="141" t="n">
        <x:f>E23*F23</x:f>
        <x:v>30000</x:v>
      </x:c>
    </x:row>
    <x:row r="24" ht="42" customHeight="1">
      <x:c r="A24" s="136" t="n">
        <x:v>17</x:v>
      </x:c>
      <x:c r="B24" s="137" t="str">
        <x:v>实时翻译</x:v>
      </x:c>
      <x:c r="C24" s="138" t="str">
        <x:v>耳机麦克风与系统音频路由适配</x:v>
      </x:c>
      <x:c r="D24" s="138" t="str">
        <x:v>工作人员手机选择蓝牙耳机输入/输出，回声与抢话控制，机型兼容测试</x:v>
      </x:c>
      <x:c r="E24" s="139" t="n">
        <x:v>1</x:v>
      </x:c>
      <x:c r="F24" s="140" t="n">
        <x:v>20000</x:v>
      </x:c>
      <x:c r="G24" s="141" t="n">
        <x:f>E24*F24</x:f>
        <x:v>20000</x:v>
      </x:c>
    </x:row>
    <x:row r="25" ht="42" customHeight="1">
      <x:c r="A25" s="136" t="n">
        <x:v>18</x:v>
      </x:c>
      <x:c r="B25" s="137" t="str">
        <x:v>实时翻译</x:v>
      </x:c>
      <x:c r="C25" s="138" t="str">
        <x:v>双端字幕、会话二维码与记录</x:v>
      </x:c>
      <x:c r="D25" s="138" t="str">
        <x:v>游客端显示工作人员译文；工作人员端显示原文/译文，可配置会话记录留存</x:v>
      </x:c>
      <x:c r="E25" s="139" t="n">
        <x:v>1</x:v>
      </x:c>
      <x:c r="F25" s="140" t="n">
        <x:v>16000</x:v>
      </x:c>
      <x:c r="G25" s="141" t="n">
        <x:f>E25*F25</x:f>
        <x:v>16000</x:v>
      </x:c>
    </x:row>
    <x:row r="26" ht="42" customHeight="1">
      <x:c r="A26" s="136" t="n">
        <x:v>19</x:v>
      </x:c>
      <x:c r="B26" s="137" t="str">
        <x:v>安全/测试</x:v>
      </x:c>
      <x:c r="C26" s="138" t="str">
        <x:v>隐私合规、压力与弱网测试</x:v>
      </x:c>
      <x:c r="D26" s="138" t="str">
        <x:v>麦克风授权提示、脱敏日志、并发/时延/丢包测试和验收报告</x:v>
      </x:c>
      <x:c r="E26" s="139" t="n">
        <x:v>1</x:v>
      </x:c>
      <x:c r="F26" s="140" t="n">
        <x:v>18000</x:v>
      </x:c>
      <x:c r="G26" s="141" t="n">
        <x:f>E26*F26</x:f>
        <x:v>18000</x:v>
      </x:c>
    </x:row>
    <x:row r="27" ht="42" customHeight="1">
      <x:c r="A27" s="136" t="n">
        <x:v>20</x:v>
      </x:c>
      <x:c r="B27" s="137" t="str">
        <x:v>运营</x:v>
      </x:c>
      <x:c r="C27" s="138" t="str">
        <x:v>首年云资源与日志监控</x:v>
      </x:c>
      <x:c r="D27" s="138" t="str">
        <x:v>应用、数据库、对象存储、音频网关、CDN、SSL 与监控 12 个月</x:v>
      </x:c>
      <x:c r="E27" s="139" t="n">
        <x:v>1</x:v>
      </x:c>
      <x:c r="F27" s="140" t="n">
        <x:v>18000</x:v>
      </x:c>
      <x:c r="G27" s="141" t="n">
        <x:f>E27*F27</x:f>
        <x:v>18000</x:v>
      </x:c>
    </x:row>
    <x:row r="28" ht="42" customHeight="1">
      <x:c r="A28" s="136" t="n">
        <x:v>21</x:v>
      </x:c>
      <x:c r="B28" s="137" t="str">
        <x:v>AI/API</x:v>
      </x:c>
      <x:c r="C28" s="138" t="str">
        <x:v>首年豆包 API 调用预算</x:v>
      </x:c>
      <x:c r="D28" s="138" t="str">
        <x:v>ASR、翻译/LLM、TTS 的试点预充值；用量超出后按火山引擎账单结算</x:v>
      </x:c>
      <x:c r="E28" s="139" t="n">
        <x:v>1</x:v>
      </x:c>
      <x:c r="F28" s="140" t="n">
        <x:v>30000</x:v>
      </x:c>
      <x:c r="G28" s="141" t="n">
        <x:f>E28*F28</x:f>
        <x:v>30000</x:v>
      </x:c>
    </x:row>
    <x:row r="29" ht="42" customHeight="1">
      <x:c r="A29" s="136" t="n">
        <x:v>22</x:v>
      </x:c>
      <x:c r="B29" s="137" t="str">
        <x:v>服务</x:v>
      </x:c>
      <x:c r="C29" s="138" t="str">
        <x:v>部署、现场联调、培训与 12 个月质保</x:v>
      </x:c>
      <x:c r="D29" s="138" t="str">
        <x:v>代表机型联调、验收脚本、操作培训、缺陷修复与基础运维</x:v>
      </x:c>
      <x:c r="E29" s="139" t="n">
        <x:v>1</x:v>
      </x:c>
      <x:c r="F29" s="140" t="n">
        <x:v>22000</x:v>
      </x:c>
      <x:c r="G29" s="141" t="n">
        <x:f>E29*F29</x:f>
        <x:v>22000</x:v>
      </x:c>
    </x:row>
    <x:row r="30" ht="42" customHeight="1">
      <x:c r="A30" s="136" t="n">
        <x:v>23</x:v>
      </x:c>
      <x:c r="B30" s="137" t="str">
        <x:v>内容扩展</x:v>
      </x:c>
      <x:c r="C30" s="138" t="str">
        <x:v>导览内容扩充包</x:v>
      </x:c>
      <x:c r="D30" s="138" t="str">
        <x:v>新增 90 条多语种录播导览内容；与基础包合计 120 条，含编目、译稿、音频切分与抽检</x:v>
      </x:c>
      <x:c r="E30" s="139" t="n">
        <x:v>1</x:v>
      </x:c>
      <x:c r="F30" s="140" t="n">
        <x:v>40000</x:v>
      </x:c>
      <x:c r="G30" s="141" t="n">
        <x:f>E30*F30</x:f>
        <x:v>40000</x:v>
      </x:c>
    </x:row>
    <x:row r="31" ht="42" customHeight="1">
      <x:c r="A31" s="136" t="n">
        <x:v>24</x:v>
      </x:c>
      <x:c r="B31" s="137" t="str">
        <x:v>语言扩展</x:v>
      </x:c>
      <x:c r="C31" s="138" t="str">
        <x:v>东南亚语言本地化与母语质检</x:v>
      </x:c>
      <x:c r="D31" s="138" t="str">
        <x:v>在基础 12 种外增加 6 种区域语言/变体；含术语表、本地化复核、敏感表达校验与发音质检</x:v>
      </x:c>
      <x:c r="E31" s="139" t="n">
        <x:v>1</x:v>
      </x:c>
      <x:c r="F31" s="140" t="n">
        <x:v>45000</x:v>
      </x:c>
      <x:c r="G31" s="141" t="n">
        <x:f>E31*F31</x:f>
        <x:v>45000</x:v>
      </x:c>
    </x:row>
    <x:row r="32" ht="42" customHeight="1">
      <x:c r="A32" s="136" t="n">
        <x:v>25</x:v>
      </x:c>
      <x:c r="B32" s="137" t="str">
        <x:v>知识扩展</x:v>
      </x:c>
      <x:c r="C32" s="138" t="str">
        <x:v>多场景景区/卖场知识图谱扩容</x:v>
      </x:c>
      <x:c r="D32" s="138" t="str">
        <x:v>新增 40 个景区/卖场/服务节点、4,500 条知识单元；与基础包合计 50 个节点、约 5,000 条知识</x:v>
      </x:c>
      <x:c r="E32" s="139" t="n">
        <x:v>1</x:v>
      </x:c>
      <x:c r="F32" s="140" t="n">
        <x:v>100000</x:v>
      </x:c>
      <x:c r="G32" s="141" t="n">
        <x:f>E32*F32</x:f>
        <x:v>100000</x:v>
      </x:c>
    </x:row>
    <x:row r="33" ht="42" customHeight="1">
      <x:c r="A33" s="136" t="n">
        <x:v>26</x:v>
      </x:c>
      <x:c r="B33" s="137" t="str">
        <x:v>Agent扩展</x:v>
      </x:c>
      <x:c r="C33" s="138" t="str">
        <x:v>场景化 Agent 工具包</x:v>
      </x:c>
      <x:c r="D33" s="138" t="str">
        <x:v>路线与换乘指引、票务/排队问答、商品服务指引、投诉应急指引等可配置场景工具</x:v>
      </x:c>
      <x:c r="E33" s="139" t="n">
        <x:v>1</x:v>
      </x:c>
      <x:c r="F33" s="140" t="n">
        <x:v>35000</x:v>
      </x:c>
      <x:c r="G33" s="141" t="n">
        <x:f>E33*F33</x:f>
        <x:v>35000</x:v>
      </x:c>
    </x:row>
    <x:row r="34" ht="42" customHeight="1">
      <x:c r="A34" s="136" t="n">
        <x:v>27</x:v>
      </x:c>
      <x:c r="B34" s="137" t="str">
        <x:v>实时翻译扩展</x:v>
      </x:c>
      <x:c r="C34" s="138" t="str">
        <x:v>导游团体一对多会话与讲解模式</x:v>
      </x:c>
      <x:c r="D34" s="138" t="str">
        <x:v>导游端发起会话、游客扫码入组、多语字幕分发、团体导览内容推送与会话管理</x:v>
      </x:c>
      <x:c r="E34" s="139" t="n">
        <x:v>1</x:v>
      </x:c>
      <x:c r="F34" s="140" t="n">
        <x:v>30000</x:v>
      </x:c>
      <x:c r="G34" s="141" t="n">
        <x:f>E34*F34</x:f>
        <x:v>30000</x:v>
      </x:c>
    </x:row>
    <x:row r="35" ht="34" customHeight="1">
      <x:c r="A35" s="142" t="str">
        <x:v>本方案建设及首年落地综合预算（含税）</x:v>
      </x:c>
      <x:c r="B35" s="143"/>
      <x:c r="C35" s="143"/>
      <x:c r="D35" s="143"/>
      <x:c r="E35" s="143"/>
      <x:c r="F35" s="143"/>
      <x:c r="G35" s="144" t="n">
        <x:f>SUM(G8:G34)</x:f>
        <x:v>830000</x:v>
      </x:c>
    </x:row>
    <x:row r="36">
      <x:c r="A36" s="128"/>
      <x:c r="B36" s="128"/>
      <x:c r="C36" s="128"/>
      <x:c r="D36" s="128"/>
      <x:c r="E36" s="128"/>
      <x:c r="F36" s="128"/>
      <x:c r="G36" s="128"/>
    </x:row>
    <x:row r="37" ht="28" customHeight="1">
      <x:c r="A37" s="145" t="str">
        <x:v>实施范围、验收边界与商务说明</x:v>
      </x:c>
      <x:c r="B37" s="145"/>
      <x:c r="C37" s="145"/>
      <x:c r="D37" s="145"/>
      <x:c r="E37" s="145"/>
      <x:c r="F37" s="145"/>
      <x:c r="G37" s="145"/>
    </x:row>
    <x:row r="38" ht="34" customHeight="1">
      <x:c r="A38" s="146" t="str">
        <x:v>1．关键链路：游客手机 H5 采集游客语音 → 云端识别/翻译 → 工作人员手机播放译文至已配对耳机；反向由耳机麦克风采集 → 游客 H5 显示译文。</x:v>
      </x:c>
      <x:c r="B38" s="146"/>
      <x:c r="C38" s="146"/>
      <x:c r="D38" s="146"/>
      <x:c r="E38" s="146"/>
      <x:c r="F38" s="146"/>
      <x:c r="G38" s="146"/>
    </x:row>
    <x:row r="39" ht="34" customHeight="1">
      <x:c r="A39" s="147" t="str">
        <x:v>2．浏览器/机型限制：H5 不能绕过系统蓝牙配对，也不能保证所有手机都强制选中耳机麦克风；签约前须用目标 Android/iOS 机型完成 POC。</x:v>
      </x:c>
      <x:c r="B39" s="147"/>
      <x:c r="C39" s="147"/>
      <x:c r="D39" s="147"/>
      <x:c r="E39" s="147"/>
      <x:c r="F39" s="147"/>
      <x:c r="G39" s="147"/>
    </x:row>
    <x:row r="40" ht="34" customHeight="1">
      <x:c r="A40" s="147" t="str">
        <x:v>3．性能目标：良好 4G/5G/Wi-Fi 下单句译文目标 1–2.5 秒可感知返回；最终以豆包 API、网络和目标机型实测验收。</x:v>
      </x:c>
      <x:c r="B40" s="147"/>
      <x:c r="C40" s="147"/>
      <x:c r="D40" s="147"/>
      <x:c r="E40" s="147"/>
      <x:c r="F40" s="147"/>
      <x:c r="G40" s="147"/>
    </x:row>
    <x:row r="41" ht="34" customHeight="1">
      <x:c r="A41" s="147" t="str">
        <x:v>4．扩展交付口径：共 120 条录播内容、18 种目标语言/区域变体、50 个景区/卖场/服务节点、约 5,000 条知识单元，并支持团体一对多讲解。</x:v>
      </x:c>
      <x:c r="B41" s="147"/>
      <x:c r="C41" s="147"/>
      <x:c r="D41" s="147"/>
      <x:c r="E41" s="147"/>
      <x:c r="F41" s="147"/>
      <x:c r="G41" s="147"/>
    </x:row>
    <x:row r="42" ht="34" customHeight="1">
      <x:c r="A42" s="147" t="str">
        <x:v>5．不含：短信/实名服务、专线与场馆 Wi-Fi 改造、超过 50 套量产、外部业务系统接口费。</x:v>
      </x:c>
      <x:c r="B42" s="147"/>
      <x:c r="C42" s="147"/>
      <x:c r="D42" s="147"/>
      <x:c r="E42" s="147"/>
      <x:c r="F42" s="147"/>
      <x:c r="G42" s="147"/>
    </x:row>
    <x:row r="43" ht="34" customHeight="1">
      <x:c r="A43" s="147" t="str">
        <x:v>6．商务建议：付款 40%（启动）/30%（中期联调）/20%（上线验收）/10%（质保期满）；报价有效期 60 天，正式合同以需求冻结清单为准。</x:v>
      </x:c>
      <x:c r="B43" s="147"/>
      <x:c r="C43" s="147"/>
      <x:c r="D43" s="147"/>
      <x:c r="E43" s="147"/>
      <x:c r="F43" s="147"/>
      <x:c r="G43" s="147"/>
    </x:row>
    <x:row r="44" ht="34" customHeight="1">
      <x:c r="A44" s="147" t="str">
        <x:v>7．豆包能力与计费参考：https://www.volcengine.com/products/Audio-editing-and-sound-processing ｜ https://www.volcengine.com/docs/82379/1544681?lang=zh</x:v>
      </x:c>
      <x:c r="B44" s="147"/>
      <x:c r="C44" s="147"/>
      <x:c r="D44" s="147"/>
      <x:c r="E44" s="147"/>
      <x:c r="F44" s="147"/>
      <x:c r="G44" s="147"/>
    </x:row>
    <x:row r="45" ht="34" customHeight="1">
      <x:c r="A45" s="148" t="str">
        <x:v>8．编制日期：2026-08-31　｜　金额单位：人民币元　｜　第三方云服务按实际账单结算，预付预算不足部分不包含在固定总价内。</x:v>
      </x:c>
      <x:c r="B45" s="148"/>
      <x:c r="C45" s="148"/>
      <x:c r="D45" s="148"/>
      <x:c r="E45" s="148"/>
      <x:c r="F45" s="148"/>
      <x:c r="G45" s="148"/>
    </x:row>
  </x:sheetData>
  <x:mergeCells>
    <x:mergeCell ref="A1:G1"/>
    <x:mergeCell ref="A2:G2"/>
    <x:mergeCell ref="A3:B3"/>
    <x:mergeCell ref="C3:G3"/>
    <x:mergeCell ref="A4:B4"/>
    <x:mergeCell ref="C4:D4"/>
    <x:mergeCell ref="E4:F4"/>
    <x:mergeCell ref="A5:B5"/>
    <x:mergeCell ref="C5:D5"/>
    <x:mergeCell ref="E5:F5"/>
    <x:mergeCell ref="A35:F35"/>
    <x:mergeCell ref="A37:G37"/>
    <x:mergeCell ref="A38:G38"/>
    <x:mergeCell ref="A39:G39"/>
    <x:mergeCell ref="A40:G40"/>
    <x:mergeCell ref="A41:G41"/>
    <x:mergeCell ref="A42:G42"/>
    <x:mergeCell ref="A43:G43"/>
    <x:mergeCell ref="A44:G44"/>
    <x:mergeCell ref="A45:G45"/>
  </x:mergeCells>
  <x:pageMargins left="0.7" right="0.7" top="0.75" bottom="0.75" header="0.3" footer="0.3"/>
</x:worksheet>
</file>